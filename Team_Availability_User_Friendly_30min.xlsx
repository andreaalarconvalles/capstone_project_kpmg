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Best Slots" sheetId="6" r:id="rId9"/>
  </sheets>
  <definedNames>
    <definedName hidden="1" localSheetId="0" name="_xlnm._FilterDatabase">Monday!$A$4:$I$24</definedName>
    <definedName hidden="1" localSheetId="1" name="_xlnm._FilterDatabase">Tuesday!$A$4:$I$24</definedName>
    <definedName hidden="1" localSheetId="2" name="_xlnm._FilterDatabase">Wednesday!$A$4:$I$24</definedName>
    <definedName hidden="1" localSheetId="3" name="_xlnm._FilterDatabase">Thursday!$A$4:$I$24</definedName>
    <definedName hidden="1" localSheetId="4" name="_xlnm._FilterDatabase">Friday!$A$4:$I$24</definedName>
    <definedName hidden="1" localSheetId="5" name="_xlnm._FilterDatabase">'Best Slots'!$A$4:$E$104</definedName>
  </definedNames>
  <calcPr/>
  <extLst>
    <ext uri="GoogleSheetsCustomDataVersion2">
      <go:sheetsCustomData xmlns:go="http://customooxmlschemas.google.com/" r:id="rId10" roundtripDataChecksum="Wsj5KgL+G+CZpPJoHMpVF9Nv7ZsuYU9XHJdu4rW9DMo="/>
    </ext>
  </extLst>
</workbook>
</file>

<file path=xl/sharedStrings.xml><?xml version="1.0" encoding="utf-8"?>
<sst xmlns="http://schemas.openxmlformats.org/spreadsheetml/2006/main" count="834" uniqueCount="53">
  <si>
    <t>Monday Availability</t>
  </si>
  <si>
    <t>Enter A = Available, B = Busy, P = PTO. Green rows mean everyone is available.</t>
  </si>
  <si>
    <t>Time</t>
  </si>
  <si>
    <t>Ghezlan</t>
  </si>
  <si>
    <t>Luka</t>
  </si>
  <si>
    <t>Bassem</t>
  </si>
  <si>
    <t>Andrea</t>
  </si>
  <si>
    <t>Alvaro J</t>
  </si>
  <si>
    <t>Alvaro P</t>
  </si>
  <si>
    <t>A Count</t>
  </si>
  <si>
    <t>All Free?</t>
  </si>
  <si>
    <t>08:00-08:30</t>
  </si>
  <si>
    <t>P</t>
  </si>
  <si>
    <t>A</t>
  </si>
  <si>
    <t>B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</si>
  <si>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</si>
  <si>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</si>
  <si>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</si>
  <si>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</si>
  <si>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</si>
  <si>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</si>
  <si>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</si>
  <si>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</si>
  <si>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>12:30-13:00</t>
  </si>
  <si>
    <t>13:00-13:30</t>
  </si>
  <si>
    <t>13:30-14:00</t>
  </si>
  <si>
    <t>14:00-14:30</t>
  </si>
  <si>
    <t>14:30-15:00</t>
  </si>
  <si>
    <t>15:00-15:30</t>
  </si>
  <si>
    <t>15:30-16:00</t>
  </si>
  <si>
    <t>16:00-16:30</t>
  </si>
  <si>
    <t>16:30-17:00</t>
  </si>
  <si>
    <t>17:00-17:30</t>
  </si>
  <si>
    <t>17:30-18:00</t>
  </si>
  <si>
    <t>Tuesday Availability</t>
  </si>
  <si>
    <t>Wednesday Availability</t>
  </si>
  <si>
    <t>Thursday Availability</t>
  </si>
  <si>
    <t>Friday Availability</t>
  </si>
  <si>
    <t>Best Common Free Slots</t>
  </si>
  <si>
    <t>This sheet updates from the day tabs. Use A = Available, B = Busy, P = PTO.</t>
  </si>
  <si>
    <t>Day</t>
  </si>
  <si>
    <t>Available Count</t>
  </si>
  <si>
    <t>All 6 Free?</t>
  </si>
  <si>
    <t>Good Slot?</t>
  </si>
  <si>
    <t>Legend</t>
  </si>
  <si>
    <t>Monday</t>
  </si>
  <si>
    <t>Available</t>
  </si>
  <si>
    <t>Busy</t>
  </si>
  <si>
    <t>PTO / Out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</si>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</sst>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666666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3F8"/>
        <bgColor rgb="FFEAF3F8"/>
      </patternFill>
    </fill>
  </fills>
  <borders count="4">
    <border/>
    <border>
      <left/>
      <right/>
      <top/>
      <bottom style="thin">
        <color rgb="FFD9E2F3"/>
      </bottom>
    </border>
    <border>
      <bottom style="thin">
        <color rgb="FFD9E2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0" fillId="0" fontId="2" numFmtId="0" xfId="0" applyFont="1"/>
    <xf borderId="3" fillId="2" fontId="3" numFmtId="0" xfId="0" applyAlignment="1" applyBorder="1" applyFont="1">
      <alignment horizontal="center"/>
    </xf>
    <xf borderId="0" fillId="0" fontId="4" numFmtId="0" xfId="0" applyFont="1"/>
    <xf borderId="2" fillId="0" fontId="5" numFmtId="1" xfId="0" applyAlignment="1" applyBorder="1" applyFont="1" applyNumberFormat="1">
      <alignment horizontal="center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8.0"/>
    <col customWidth="1" min="4" max="5" width="9.0"/>
    <col customWidth="1" min="6" max="7" width="10.0"/>
    <col customWidth="1" min="8" max="8" width="8.0"/>
    <col customWidth="1" min="9" max="9" width="10.0"/>
    <col customWidth="1" min="10" max="26" width="8.71"/>
  </cols>
  <sheetData>
    <row r="1" ht="19.5" customHeight="1">
      <c r="A1" s="1" t="s">
        <v>0</v>
      </c>
    </row>
    <row r="2" ht="19.5" customHeight="1">
      <c r="A2" s="2" t="s">
        <v>1</v>
      </c>
    </row>
    <row r="3" ht="19.5" customHeight="1"/>
    <row r="4" ht="19.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3" t="s">
        <v>10</v>
      </c>
    </row>
    <row r="5" ht="19.5" customHeight="1">
      <c r="A5" s="5" t="s">
        <v>11</v>
      </c>
      <c r="B5" s="6" t="s">
        <v>12</v>
      </c>
      <c r="C5" s="7" t="s">
        <v>13</v>
      </c>
      <c r="D5" s="7" t="s">
        <v>12</v>
      </c>
      <c r="E5" s="7" t="s">
        <v>14</v>
      </c>
      <c r="F5" s="6"/>
      <c r="G5" s="7" t="s">
        <v>14</v>
      </c>
      <c r="H5" s="8">
        <f t="shared" ref="H5:H24" si="1">COUNTIF(B5:G5,"A")</f>
        <v>1</v>
      </c>
      <c r="I5" s="8" t="str">
        <f t="shared" ref="I5:I24" si="2">IF(H5=6,"YES","")</f>
        <v/>
      </c>
    </row>
    <row r="6" ht="19.5" customHeight="1">
      <c r="A6" s="5" t="s">
        <v>15</v>
      </c>
      <c r="B6" s="6" t="s">
        <v>12</v>
      </c>
      <c r="C6" s="7" t="s">
        <v>13</v>
      </c>
      <c r="D6" s="7" t="s">
        <v>12</v>
      </c>
      <c r="E6" s="7" t="s">
        <v>14</v>
      </c>
      <c r="F6" s="6"/>
      <c r="G6" s="7" t="s">
        <v>14</v>
      </c>
      <c r="H6" s="8">
        <f t="shared" si="1"/>
        <v>1</v>
      </c>
      <c r="I6" s="8" t="str">
        <f t="shared" si="2"/>
        <v/>
      </c>
    </row>
    <row r="7" ht="19.5" customHeight="1">
      <c r="A7" s="5" t="s">
        <v>16</v>
      </c>
      <c r="B7" s="6" t="s">
        <v>12</v>
      </c>
      <c r="C7" s="7" t="s">
        <v>13</v>
      </c>
      <c r="D7" s="7" t="s">
        <v>12</v>
      </c>
      <c r="E7" s="7" t="s">
        <v>14</v>
      </c>
      <c r="F7" s="6"/>
      <c r="G7" s="7" t="s">
        <v>14</v>
      </c>
      <c r="H7" s="8">
        <f t="shared" si="1"/>
        <v>1</v>
      </c>
      <c r="I7" s="8" t="str">
        <f t="shared" si="2"/>
        <v/>
      </c>
    </row>
    <row r="8" ht="19.5" customHeight="1">
      <c r="A8" s="5" t="s">
        <v>17</v>
      </c>
      <c r="B8" s="6" t="s">
        <v>12</v>
      </c>
      <c r="C8" s="7" t="s">
        <v>13</v>
      </c>
      <c r="D8" s="7" t="s">
        <v>12</v>
      </c>
      <c r="E8" s="7" t="s">
        <v>14</v>
      </c>
      <c r="F8" s="6"/>
      <c r="G8" s="7" t="s">
        <v>14</v>
      </c>
      <c r="H8" s="8">
        <f t="shared" si="1"/>
        <v>1</v>
      </c>
      <c r="I8" s="8" t="str">
        <f t="shared" si="2"/>
        <v/>
      </c>
    </row>
    <row r="9" ht="19.5" customHeight="1">
      <c r="A9" s="5" t="s">
        <v>18</v>
      </c>
      <c r="B9" s="6" t="s">
        <v>13</v>
      </c>
      <c r="C9" s="7" t="s">
        <v>13</v>
      </c>
      <c r="D9" s="7" t="s">
        <v>14</v>
      </c>
      <c r="E9" s="7" t="s">
        <v>14</v>
      </c>
      <c r="F9" s="6"/>
      <c r="G9" s="7" t="s">
        <v>14</v>
      </c>
      <c r="H9" s="8">
        <f t="shared" si="1"/>
        <v>2</v>
      </c>
      <c r="I9" s="8" t="str">
        <f t="shared" si="2"/>
        <v/>
      </c>
    </row>
    <row r="10" ht="19.5" customHeight="1">
      <c r="A10" s="5" t="s">
        <v>19</v>
      </c>
      <c r="B10" s="6" t="s">
        <v>13</v>
      </c>
      <c r="C10" s="7" t="s">
        <v>13</v>
      </c>
      <c r="D10" s="7" t="s">
        <v>14</v>
      </c>
      <c r="E10" s="7" t="s">
        <v>14</v>
      </c>
      <c r="F10" s="6"/>
      <c r="G10" s="7" t="s">
        <v>14</v>
      </c>
      <c r="H10" s="8">
        <f t="shared" si="1"/>
        <v>2</v>
      </c>
      <c r="I10" s="8" t="str">
        <f t="shared" si="2"/>
        <v/>
      </c>
    </row>
    <row r="11" ht="19.5" customHeight="1">
      <c r="A11" s="5" t="s">
        <v>20</v>
      </c>
      <c r="B11" s="6" t="s">
        <v>13</v>
      </c>
      <c r="C11" s="7" t="s">
        <v>13</v>
      </c>
      <c r="D11" s="7" t="s">
        <v>13</v>
      </c>
      <c r="E11" s="7" t="s">
        <v>14</v>
      </c>
      <c r="F11" s="6"/>
      <c r="G11" s="7" t="s">
        <v>14</v>
      </c>
      <c r="H11" s="8">
        <f t="shared" si="1"/>
        <v>3</v>
      </c>
      <c r="I11" s="8" t="str">
        <f t="shared" si="2"/>
        <v/>
      </c>
    </row>
    <row r="12" ht="19.5" customHeight="1">
      <c r="A12" s="5" t="s">
        <v>21</v>
      </c>
      <c r="B12" s="6" t="s">
        <v>13</v>
      </c>
      <c r="C12" s="7" t="s">
        <v>13</v>
      </c>
      <c r="D12" s="7" t="s">
        <v>13</v>
      </c>
      <c r="E12" s="7" t="s">
        <v>14</v>
      </c>
      <c r="F12" s="6"/>
      <c r="G12" s="7" t="s">
        <v>14</v>
      </c>
      <c r="H12" s="8">
        <f t="shared" si="1"/>
        <v>3</v>
      </c>
      <c r="I12" s="8" t="str">
        <f t="shared" si="2"/>
        <v/>
      </c>
    </row>
    <row r="13" ht="19.5" customHeight="1">
      <c r="A13" s="5" t="s">
        <v>22</v>
      </c>
      <c r="B13" s="6" t="s">
        <v>14</v>
      </c>
      <c r="C13" s="7" t="s">
        <v>13</v>
      </c>
      <c r="D13" s="7" t="s">
        <v>13</v>
      </c>
      <c r="E13" s="7" t="s">
        <v>14</v>
      </c>
      <c r="F13" s="6"/>
      <c r="G13" s="7" t="s">
        <v>14</v>
      </c>
      <c r="H13" s="8">
        <f t="shared" si="1"/>
        <v>2</v>
      </c>
      <c r="I13" s="8" t="str">
        <f t="shared" si="2"/>
        <v/>
      </c>
    </row>
    <row r="14" ht="19.5" customHeight="1">
      <c r="A14" s="5" t="s">
        <v>23</v>
      </c>
      <c r="B14" s="6" t="s">
        <v>14</v>
      </c>
      <c r="C14" s="7" t="s">
        <v>13</v>
      </c>
      <c r="D14" s="7" t="s">
        <v>13</v>
      </c>
      <c r="E14" s="7" t="s">
        <v>14</v>
      </c>
      <c r="F14" s="6"/>
      <c r="G14" s="7" t="s">
        <v>13</v>
      </c>
      <c r="H14" s="8">
        <f t="shared" si="1"/>
        <v>3</v>
      </c>
      <c r="I14" s="8" t="str">
        <f t="shared" si="2"/>
        <v/>
      </c>
    </row>
    <row r="15" ht="19.5" customHeight="1">
      <c r="A15" s="5" t="s">
        <v>24</v>
      </c>
      <c r="B15" s="6" t="s">
        <v>14</v>
      </c>
      <c r="C15" s="7" t="s">
        <v>13</v>
      </c>
      <c r="D15" s="7" t="s">
        <v>13</v>
      </c>
      <c r="E15" s="7" t="s">
        <v>14</v>
      </c>
      <c r="F15" s="6"/>
      <c r="G15" s="7" t="s">
        <v>13</v>
      </c>
      <c r="H15" s="8">
        <f t="shared" si="1"/>
        <v>3</v>
      </c>
      <c r="I15" s="8" t="str">
        <f t="shared" si="2"/>
        <v/>
      </c>
    </row>
    <row r="16" ht="19.5" customHeight="1">
      <c r="A16" s="5" t="s">
        <v>25</v>
      </c>
      <c r="B16" s="6" t="s">
        <v>13</v>
      </c>
      <c r="C16" s="7" t="s">
        <v>13</v>
      </c>
      <c r="D16" s="7" t="s">
        <v>13</v>
      </c>
      <c r="E16" s="7" t="s">
        <v>14</v>
      </c>
      <c r="F16" s="6"/>
      <c r="G16" s="7" t="s">
        <v>13</v>
      </c>
      <c r="H16" s="8">
        <f t="shared" si="1"/>
        <v>4</v>
      </c>
      <c r="I16" s="8" t="str">
        <f t="shared" si="2"/>
        <v/>
      </c>
    </row>
    <row r="17" ht="19.5" customHeight="1">
      <c r="A17" s="5" t="s">
        <v>26</v>
      </c>
      <c r="B17" s="6" t="s">
        <v>13</v>
      </c>
      <c r="C17" s="7" t="s">
        <v>13</v>
      </c>
      <c r="D17" s="7" t="s">
        <v>13</v>
      </c>
      <c r="E17" s="7" t="s">
        <v>13</v>
      </c>
      <c r="F17" s="6"/>
      <c r="G17" s="7" t="s">
        <v>14</v>
      </c>
      <c r="H17" s="8">
        <f t="shared" si="1"/>
        <v>4</v>
      </c>
      <c r="I17" s="8" t="str">
        <f t="shared" si="2"/>
        <v/>
      </c>
    </row>
    <row r="18" ht="19.5" customHeight="1">
      <c r="A18" s="5" t="s">
        <v>27</v>
      </c>
      <c r="B18" s="6" t="s">
        <v>13</v>
      </c>
      <c r="C18" s="7" t="s">
        <v>13</v>
      </c>
      <c r="D18" s="7" t="s">
        <v>13</v>
      </c>
      <c r="E18" s="7" t="s">
        <v>13</v>
      </c>
      <c r="F18" s="6"/>
      <c r="G18" s="7" t="s">
        <v>14</v>
      </c>
      <c r="H18" s="8">
        <f t="shared" si="1"/>
        <v>4</v>
      </c>
      <c r="I18" s="8" t="str">
        <f t="shared" si="2"/>
        <v/>
      </c>
    </row>
    <row r="19" ht="19.5" customHeight="1">
      <c r="A19" s="5" t="s">
        <v>28</v>
      </c>
      <c r="B19" s="6" t="s">
        <v>13</v>
      </c>
      <c r="C19" s="7" t="s">
        <v>13</v>
      </c>
      <c r="D19" s="7" t="s">
        <v>13</v>
      </c>
      <c r="E19" s="7" t="s">
        <v>14</v>
      </c>
      <c r="F19" s="6"/>
      <c r="G19" s="7" t="s">
        <v>14</v>
      </c>
      <c r="H19" s="8">
        <f t="shared" si="1"/>
        <v>3</v>
      </c>
      <c r="I19" s="8" t="str">
        <f t="shared" si="2"/>
        <v/>
      </c>
    </row>
    <row r="20" ht="19.5" customHeight="1">
      <c r="A20" s="5" t="s">
        <v>29</v>
      </c>
      <c r="B20" s="6" t="s">
        <v>13</v>
      </c>
      <c r="C20" s="7" t="s">
        <v>13</v>
      </c>
      <c r="D20" s="7" t="s">
        <v>13</v>
      </c>
      <c r="E20" s="7" t="s">
        <v>14</v>
      </c>
      <c r="F20" s="6"/>
      <c r="G20" s="7" t="s">
        <v>14</v>
      </c>
      <c r="H20" s="8">
        <f t="shared" si="1"/>
        <v>3</v>
      </c>
      <c r="I20" s="8" t="str">
        <f t="shared" si="2"/>
        <v/>
      </c>
    </row>
    <row r="21" ht="19.5" customHeight="1">
      <c r="A21" s="5" t="s">
        <v>30</v>
      </c>
      <c r="B21" s="6" t="s">
        <v>13</v>
      </c>
      <c r="C21" s="7" t="s">
        <v>13</v>
      </c>
      <c r="D21" s="7" t="s">
        <v>13</v>
      </c>
      <c r="E21" s="7" t="s">
        <v>14</v>
      </c>
      <c r="F21" s="6"/>
      <c r="G21" s="7" t="s">
        <v>14</v>
      </c>
      <c r="H21" s="8">
        <f t="shared" si="1"/>
        <v>3</v>
      </c>
      <c r="I21" s="8" t="str">
        <f t="shared" si="2"/>
        <v/>
      </c>
    </row>
    <row r="22" ht="19.5" customHeight="1">
      <c r="A22" s="5" t="s">
        <v>31</v>
      </c>
      <c r="B22" s="6" t="s">
        <v>13</v>
      </c>
      <c r="C22" s="7" t="s">
        <v>13</v>
      </c>
      <c r="D22" s="7" t="s">
        <v>13</v>
      </c>
      <c r="E22" s="7" t="s">
        <v>14</v>
      </c>
      <c r="F22" s="6"/>
      <c r="G22" s="7" t="s">
        <v>14</v>
      </c>
      <c r="H22" s="8">
        <f t="shared" si="1"/>
        <v>3</v>
      </c>
      <c r="I22" s="8" t="str">
        <f t="shared" si="2"/>
        <v/>
      </c>
    </row>
    <row r="23" ht="19.5" customHeight="1">
      <c r="A23" s="5" t="s">
        <v>32</v>
      </c>
      <c r="B23" s="6" t="s">
        <v>13</v>
      </c>
      <c r="C23" s="7" t="s">
        <v>13</v>
      </c>
      <c r="D23" s="7" t="s">
        <v>13</v>
      </c>
      <c r="E23" s="7" t="s">
        <v>14</v>
      </c>
      <c r="F23" s="6"/>
      <c r="G23" s="7" t="s">
        <v>14</v>
      </c>
      <c r="H23" s="8">
        <f t="shared" si="1"/>
        <v>3</v>
      </c>
      <c r="I23" s="8" t="str">
        <f t="shared" si="2"/>
        <v/>
      </c>
    </row>
    <row r="24" ht="19.5" customHeight="1">
      <c r="A24" s="5" t="s">
        <v>33</v>
      </c>
      <c r="B24" s="6" t="s">
        <v>13</v>
      </c>
      <c r="C24" s="7" t="s">
        <v>13</v>
      </c>
      <c r="D24" s="7" t="s">
        <v>13</v>
      </c>
      <c r="E24" s="7" t="s">
        <v>14</v>
      </c>
      <c r="F24" s="6"/>
      <c r="G24" s="7" t="s">
        <v>14</v>
      </c>
      <c r="H24" s="8">
        <f t="shared" si="1"/>
        <v>3</v>
      </c>
      <c r="I24" s="8" t="str">
        <f t="shared" si="2"/>
        <v/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24"/>
  <conditionalFormatting sqref="A5:I24">
    <cfRule type="expression" dxfId="0" priority="1">
      <formula>$I5="YES"</formula>
    </cfRule>
  </conditionalFormatting>
  <conditionalFormatting sqref="B5:G24">
    <cfRule type="cellIs" dxfId="0" priority="2" operator="equal">
      <formula>"A"</formula>
    </cfRule>
  </conditionalFormatting>
  <conditionalFormatting sqref="B5:G24">
    <cfRule type="cellIs" dxfId="1" priority="3" operator="equal">
      <formula>"B"</formula>
    </cfRule>
  </conditionalFormatting>
  <conditionalFormatting sqref="B5:G24">
    <cfRule type="cellIs" dxfId="2" priority="4" operator="equal">
      <formula>"P"</formula>
    </cfRule>
  </conditionalFormatting>
  <dataValidations>
    <dataValidation type="list" allowBlank="1" sqref="B5:G24">
      <formula1>"A,B,P"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8.0"/>
    <col customWidth="1" min="4" max="5" width="9.0"/>
    <col customWidth="1" min="6" max="7" width="10.0"/>
    <col customWidth="1" min="8" max="8" width="8.0"/>
    <col customWidth="1" min="9" max="9" width="10.0"/>
    <col customWidth="1" min="10" max="26" width="8.71"/>
  </cols>
  <sheetData>
    <row r="1" ht="19.5" customHeight="1">
      <c r="A1" s="1" t="s">
        <v>34</v>
      </c>
    </row>
    <row r="2" ht="19.5" customHeight="1">
      <c r="A2" s="2" t="s">
        <v>1</v>
      </c>
    </row>
    <row r="3" ht="19.5" customHeight="1"/>
    <row r="4" ht="19.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3" t="s">
        <v>10</v>
      </c>
    </row>
    <row r="5" ht="19.5" customHeight="1">
      <c r="A5" s="5" t="s">
        <v>11</v>
      </c>
      <c r="B5" s="6" t="s">
        <v>12</v>
      </c>
      <c r="C5" s="6" t="s">
        <v>12</v>
      </c>
      <c r="D5" s="7" t="s">
        <v>12</v>
      </c>
      <c r="E5" s="7"/>
      <c r="F5" s="6"/>
      <c r="G5" s="7" t="s">
        <v>14</v>
      </c>
      <c r="H5" s="8">
        <f t="shared" ref="H5:H24" si="1">COUNTIF(B5:G5,"A")</f>
        <v>0</v>
      </c>
      <c r="I5" s="8" t="str">
        <f t="shared" ref="I5:I24" si="2">IF(H5=6,"YES","")</f>
        <v/>
      </c>
    </row>
    <row r="6" ht="19.5" customHeight="1">
      <c r="A6" s="5" t="s">
        <v>15</v>
      </c>
      <c r="B6" s="6" t="s">
        <v>12</v>
      </c>
      <c r="C6" s="6" t="s">
        <v>12</v>
      </c>
      <c r="D6" s="7" t="s">
        <v>12</v>
      </c>
      <c r="E6" s="6"/>
      <c r="F6" s="6"/>
      <c r="G6" s="7" t="s">
        <v>14</v>
      </c>
      <c r="H6" s="8">
        <f t="shared" si="1"/>
        <v>0</v>
      </c>
      <c r="I6" s="8" t="str">
        <f t="shared" si="2"/>
        <v/>
      </c>
    </row>
    <row r="7" ht="19.5" customHeight="1">
      <c r="A7" s="5" t="s">
        <v>16</v>
      </c>
      <c r="B7" s="6" t="s">
        <v>12</v>
      </c>
      <c r="C7" s="6" t="s">
        <v>12</v>
      </c>
      <c r="D7" s="7" t="s">
        <v>12</v>
      </c>
      <c r="E7" s="6"/>
      <c r="F7" s="6"/>
      <c r="G7" s="7" t="s">
        <v>14</v>
      </c>
      <c r="H7" s="8">
        <f t="shared" si="1"/>
        <v>0</v>
      </c>
      <c r="I7" s="8" t="str">
        <f t="shared" si="2"/>
        <v/>
      </c>
    </row>
    <row r="8" ht="19.5" customHeight="1">
      <c r="A8" s="5" t="s">
        <v>17</v>
      </c>
      <c r="B8" s="6" t="s">
        <v>12</v>
      </c>
      <c r="C8" s="6" t="s">
        <v>12</v>
      </c>
      <c r="D8" s="7" t="s">
        <v>12</v>
      </c>
      <c r="E8" s="6"/>
      <c r="F8" s="6"/>
      <c r="G8" s="7" t="s">
        <v>14</v>
      </c>
      <c r="H8" s="8">
        <f t="shared" si="1"/>
        <v>0</v>
      </c>
      <c r="I8" s="8" t="str">
        <f t="shared" si="2"/>
        <v/>
      </c>
    </row>
    <row r="9" ht="19.5" customHeight="1">
      <c r="A9" s="5" t="s">
        <v>18</v>
      </c>
      <c r="B9" s="6" t="s">
        <v>12</v>
      </c>
      <c r="C9" s="6" t="s">
        <v>12</v>
      </c>
      <c r="D9" s="7" t="s">
        <v>13</v>
      </c>
      <c r="E9" s="6"/>
      <c r="F9" s="6"/>
      <c r="G9" s="7" t="s">
        <v>14</v>
      </c>
      <c r="H9" s="8">
        <f t="shared" si="1"/>
        <v>1</v>
      </c>
      <c r="I9" s="8" t="str">
        <f t="shared" si="2"/>
        <v/>
      </c>
    </row>
    <row r="10" ht="19.5" customHeight="1">
      <c r="A10" s="5" t="s">
        <v>19</v>
      </c>
      <c r="B10" s="6" t="s">
        <v>14</v>
      </c>
      <c r="C10" s="6" t="s">
        <v>12</v>
      </c>
      <c r="D10" s="7" t="s">
        <v>13</v>
      </c>
      <c r="E10" s="7" t="s">
        <v>13</v>
      </c>
      <c r="F10" s="6"/>
      <c r="G10" s="7" t="s">
        <v>14</v>
      </c>
      <c r="H10" s="8">
        <f t="shared" si="1"/>
        <v>2</v>
      </c>
      <c r="I10" s="8" t="str">
        <f t="shared" si="2"/>
        <v/>
      </c>
    </row>
    <row r="11" ht="19.5" customHeight="1">
      <c r="A11" s="5" t="s">
        <v>20</v>
      </c>
      <c r="B11" s="6" t="s">
        <v>14</v>
      </c>
      <c r="C11" s="6" t="s">
        <v>12</v>
      </c>
      <c r="D11" s="7" t="s">
        <v>13</v>
      </c>
      <c r="E11" s="7" t="s">
        <v>13</v>
      </c>
      <c r="F11" s="6"/>
      <c r="G11" s="7" t="s">
        <v>13</v>
      </c>
      <c r="H11" s="8">
        <f t="shared" si="1"/>
        <v>3</v>
      </c>
      <c r="I11" s="8" t="str">
        <f t="shared" si="2"/>
        <v/>
      </c>
    </row>
    <row r="12" ht="19.5" customHeight="1">
      <c r="A12" s="5" t="s">
        <v>21</v>
      </c>
      <c r="B12" s="6" t="s">
        <v>14</v>
      </c>
      <c r="C12" s="6" t="s">
        <v>12</v>
      </c>
      <c r="D12" s="7" t="s">
        <v>13</v>
      </c>
      <c r="E12" s="7" t="s">
        <v>13</v>
      </c>
      <c r="F12" s="6"/>
      <c r="G12" s="7" t="s">
        <v>13</v>
      </c>
      <c r="H12" s="8">
        <f t="shared" si="1"/>
        <v>3</v>
      </c>
      <c r="I12" s="8" t="str">
        <f t="shared" si="2"/>
        <v/>
      </c>
    </row>
    <row r="13" ht="19.5" customHeight="1">
      <c r="A13" s="5" t="s">
        <v>22</v>
      </c>
      <c r="B13" s="6" t="s">
        <v>13</v>
      </c>
      <c r="C13" s="6" t="s">
        <v>12</v>
      </c>
      <c r="D13" s="7" t="s">
        <v>13</v>
      </c>
      <c r="E13" s="7" t="s">
        <v>13</v>
      </c>
      <c r="F13" s="6"/>
      <c r="G13" s="7" t="s">
        <v>14</v>
      </c>
      <c r="H13" s="8">
        <f t="shared" si="1"/>
        <v>3</v>
      </c>
      <c r="I13" s="8" t="str">
        <f t="shared" si="2"/>
        <v/>
      </c>
    </row>
    <row r="14" ht="19.5" customHeight="1">
      <c r="A14" s="5" t="s">
        <v>23</v>
      </c>
      <c r="B14" s="6" t="s">
        <v>13</v>
      </c>
      <c r="C14" s="6" t="s">
        <v>12</v>
      </c>
      <c r="D14" s="7" t="s">
        <v>13</v>
      </c>
      <c r="E14" s="7" t="s">
        <v>13</v>
      </c>
      <c r="F14" s="6"/>
      <c r="G14" s="7" t="s">
        <v>14</v>
      </c>
      <c r="H14" s="8">
        <f t="shared" si="1"/>
        <v>3</v>
      </c>
      <c r="I14" s="8" t="str">
        <f t="shared" si="2"/>
        <v/>
      </c>
    </row>
    <row r="15" ht="19.5" customHeight="1">
      <c r="A15" s="5" t="s">
        <v>24</v>
      </c>
      <c r="B15" s="6" t="s">
        <v>13</v>
      </c>
      <c r="C15" s="6" t="s">
        <v>12</v>
      </c>
      <c r="D15" s="7" t="s">
        <v>13</v>
      </c>
      <c r="E15" s="7" t="s">
        <v>13</v>
      </c>
      <c r="F15" s="6"/>
      <c r="G15" s="7" t="s">
        <v>14</v>
      </c>
      <c r="H15" s="8">
        <f t="shared" si="1"/>
        <v>3</v>
      </c>
      <c r="I15" s="8" t="str">
        <f t="shared" si="2"/>
        <v/>
      </c>
    </row>
    <row r="16" ht="19.5" customHeight="1">
      <c r="A16" s="5" t="s">
        <v>25</v>
      </c>
      <c r="B16" s="6" t="s">
        <v>13</v>
      </c>
      <c r="C16" s="6" t="s">
        <v>12</v>
      </c>
      <c r="D16" s="7" t="s">
        <v>13</v>
      </c>
      <c r="E16" s="7" t="s">
        <v>13</v>
      </c>
      <c r="F16" s="6"/>
      <c r="G16" s="7" t="s">
        <v>14</v>
      </c>
      <c r="H16" s="8">
        <f t="shared" si="1"/>
        <v>3</v>
      </c>
      <c r="I16" s="8" t="str">
        <f t="shared" si="2"/>
        <v/>
      </c>
    </row>
    <row r="17" ht="19.5" customHeight="1">
      <c r="A17" s="5" t="s">
        <v>26</v>
      </c>
      <c r="B17" s="6" t="s">
        <v>13</v>
      </c>
      <c r="C17" s="6" t="s">
        <v>12</v>
      </c>
      <c r="D17" s="7" t="s">
        <v>13</v>
      </c>
      <c r="E17" s="7" t="s">
        <v>13</v>
      </c>
      <c r="F17" s="6"/>
      <c r="G17" s="7" t="s">
        <v>14</v>
      </c>
      <c r="H17" s="8">
        <f t="shared" si="1"/>
        <v>3</v>
      </c>
      <c r="I17" s="8" t="str">
        <f t="shared" si="2"/>
        <v/>
      </c>
    </row>
    <row r="18" ht="19.5" customHeight="1">
      <c r="A18" s="5" t="s">
        <v>27</v>
      </c>
      <c r="B18" s="6" t="s">
        <v>13</v>
      </c>
      <c r="C18" s="6" t="s">
        <v>13</v>
      </c>
      <c r="D18" s="7" t="s">
        <v>13</v>
      </c>
      <c r="E18" s="7" t="s">
        <v>13</v>
      </c>
      <c r="F18" s="6"/>
      <c r="G18" s="7" t="s">
        <v>14</v>
      </c>
      <c r="H18" s="8">
        <f t="shared" si="1"/>
        <v>4</v>
      </c>
      <c r="I18" s="8" t="str">
        <f t="shared" si="2"/>
        <v/>
      </c>
    </row>
    <row r="19" ht="19.5" customHeight="1">
      <c r="A19" s="5" t="s">
        <v>28</v>
      </c>
      <c r="B19" s="6" t="s">
        <v>13</v>
      </c>
      <c r="C19" s="6" t="s">
        <v>13</v>
      </c>
      <c r="D19" s="7" t="s">
        <v>13</v>
      </c>
      <c r="E19" s="6"/>
      <c r="F19" s="6"/>
      <c r="G19" s="7" t="s">
        <v>14</v>
      </c>
      <c r="H19" s="8">
        <f t="shared" si="1"/>
        <v>3</v>
      </c>
      <c r="I19" s="8" t="str">
        <f t="shared" si="2"/>
        <v/>
      </c>
    </row>
    <row r="20" ht="19.5" customHeight="1">
      <c r="A20" s="5" t="s">
        <v>29</v>
      </c>
      <c r="B20" s="6" t="s">
        <v>13</v>
      </c>
      <c r="C20" s="6" t="s">
        <v>13</v>
      </c>
      <c r="D20" s="7" t="s">
        <v>13</v>
      </c>
      <c r="E20" s="6"/>
      <c r="F20" s="6"/>
      <c r="G20" s="7" t="s">
        <v>14</v>
      </c>
      <c r="H20" s="8">
        <f t="shared" si="1"/>
        <v>3</v>
      </c>
      <c r="I20" s="8" t="str">
        <f t="shared" si="2"/>
        <v/>
      </c>
    </row>
    <row r="21" ht="19.5" customHeight="1">
      <c r="A21" s="5" t="s">
        <v>30</v>
      </c>
      <c r="B21" s="6" t="s">
        <v>13</v>
      </c>
      <c r="C21" s="6" t="s">
        <v>13</v>
      </c>
      <c r="D21" s="7" t="s">
        <v>13</v>
      </c>
      <c r="E21" s="6"/>
      <c r="F21" s="6"/>
      <c r="G21" s="7" t="s">
        <v>14</v>
      </c>
      <c r="H21" s="8">
        <f t="shared" si="1"/>
        <v>3</v>
      </c>
      <c r="I21" s="8" t="str">
        <f t="shared" si="2"/>
        <v/>
      </c>
    </row>
    <row r="22" ht="19.5" customHeight="1">
      <c r="A22" s="5" t="s">
        <v>31</v>
      </c>
      <c r="B22" s="6" t="s">
        <v>13</v>
      </c>
      <c r="C22" s="6" t="s">
        <v>13</v>
      </c>
      <c r="D22" s="7" t="s">
        <v>13</v>
      </c>
      <c r="E22" s="6"/>
      <c r="F22" s="6"/>
      <c r="G22" s="7" t="s">
        <v>14</v>
      </c>
      <c r="H22" s="8">
        <f t="shared" si="1"/>
        <v>3</v>
      </c>
      <c r="I22" s="8" t="str">
        <f t="shared" si="2"/>
        <v/>
      </c>
    </row>
    <row r="23" ht="19.5" customHeight="1">
      <c r="A23" s="5" t="s">
        <v>32</v>
      </c>
      <c r="B23" s="6" t="s">
        <v>13</v>
      </c>
      <c r="C23" s="6" t="s">
        <v>13</v>
      </c>
      <c r="D23" s="7" t="s">
        <v>13</v>
      </c>
      <c r="E23" s="6"/>
      <c r="F23" s="6"/>
      <c r="G23" s="7" t="s">
        <v>13</v>
      </c>
      <c r="H23" s="8">
        <f t="shared" si="1"/>
        <v>4</v>
      </c>
      <c r="I23" s="8" t="str">
        <f t="shared" si="2"/>
        <v/>
      </c>
    </row>
    <row r="24" ht="19.5" customHeight="1">
      <c r="A24" s="5" t="s">
        <v>33</v>
      </c>
      <c r="B24" s="6" t="s">
        <v>13</v>
      </c>
      <c r="C24" s="6" t="s">
        <v>13</v>
      </c>
      <c r="D24" s="7" t="s">
        <v>13</v>
      </c>
      <c r="E24" s="6"/>
      <c r="F24" s="6"/>
      <c r="G24" s="7" t="s">
        <v>13</v>
      </c>
      <c r="H24" s="8">
        <f t="shared" si="1"/>
        <v>4</v>
      </c>
      <c r="I24" s="8" t="str">
        <f t="shared" si="2"/>
        <v/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24"/>
  <conditionalFormatting sqref="A5:I24">
    <cfRule type="expression" dxfId="0" priority="1">
      <formula>$I5="YES"</formula>
    </cfRule>
  </conditionalFormatting>
  <conditionalFormatting sqref="B5:G24">
    <cfRule type="cellIs" dxfId="0" priority="2" operator="equal">
      <formula>"A"</formula>
    </cfRule>
  </conditionalFormatting>
  <conditionalFormatting sqref="B5:G24">
    <cfRule type="cellIs" dxfId="1" priority="3" operator="equal">
      <formula>"B"</formula>
    </cfRule>
  </conditionalFormatting>
  <conditionalFormatting sqref="B5:G24">
    <cfRule type="cellIs" dxfId="2" priority="4" operator="equal">
      <formula>"P"</formula>
    </cfRule>
  </conditionalFormatting>
  <dataValidations>
    <dataValidation type="list" allowBlank="1" sqref="B5:G24">
      <formula1>"A,B,P"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8.0"/>
    <col customWidth="1" min="4" max="5" width="9.0"/>
    <col customWidth="1" min="6" max="7" width="10.0"/>
    <col customWidth="1" min="8" max="8" width="8.0"/>
    <col customWidth="1" min="9" max="9" width="10.0"/>
    <col customWidth="1" min="10" max="26" width="8.71"/>
  </cols>
  <sheetData>
    <row r="1" ht="19.5" customHeight="1">
      <c r="A1" s="1" t="s">
        <v>35</v>
      </c>
    </row>
    <row r="2" ht="19.5" customHeight="1">
      <c r="A2" s="2" t="s">
        <v>1</v>
      </c>
    </row>
    <row r="3" ht="19.5" customHeight="1"/>
    <row r="4" ht="19.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3" t="s">
        <v>10</v>
      </c>
    </row>
    <row r="5" ht="19.5" customHeight="1">
      <c r="A5" s="5" t="s">
        <v>11</v>
      </c>
      <c r="B5" s="6" t="s">
        <v>12</v>
      </c>
      <c r="C5" s="6" t="s">
        <v>13</v>
      </c>
      <c r="D5" s="7" t="s">
        <v>12</v>
      </c>
      <c r="E5" s="6"/>
      <c r="F5" s="6"/>
      <c r="G5" s="7" t="s">
        <v>14</v>
      </c>
      <c r="H5" s="8">
        <f t="shared" ref="H5:H24" si="1">COUNTIF(B5:G5,"A")</f>
        <v>1</v>
      </c>
      <c r="I5" s="8" t="str">
        <f t="shared" ref="I5:I24" si="2">IF(H5=6,"YES","")</f>
        <v/>
      </c>
    </row>
    <row r="6" ht="19.5" customHeight="1">
      <c r="A6" s="5" t="s">
        <v>15</v>
      </c>
      <c r="B6" s="6" t="s">
        <v>12</v>
      </c>
      <c r="C6" s="6" t="s">
        <v>13</v>
      </c>
      <c r="D6" s="7" t="s">
        <v>12</v>
      </c>
      <c r="E6" s="6"/>
      <c r="F6" s="6"/>
      <c r="G6" s="7" t="s">
        <v>14</v>
      </c>
      <c r="H6" s="8">
        <f t="shared" si="1"/>
        <v>1</v>
      </c>
      <c r="I6" s="8" t="str">
        <f t="shared" si="2"/>
        <v/>
      </c>
    </row>
    <row r="7" ht="19.5" customHeight="1">
      <c r="A7" s="5" t="s">
        <v>16</v>
      </c>
      <c r="B7" s="6" t="s">
        <v>12</v>
      </c>
      <c r="C7" s="6" t="s">
        <v>13</v>
      </c>
      <c r="D7" s="7" t="s">
        <v>12</v>
      </c>
      <c r="E7" s="6"/>
      <c r="F7" s="6"/>
      <c r="G7" s="7" t="s">
        <v>14</v>
      </c>
      <c r="H7" s="8">
        <f t="shared" si="1"/>
        <v>1</v>
      </c>
      <c r="I7" s="8" t="str">
        <f t="shared" si="2"/>
        <v/>
      </c>
    </row>
    <row r="8" ht="19.5" customHeight="1">
      <c r="A8" s="5" t="s">
        <v>17</v>
      </c>
      <c r="B8" s="6" t="s">
        <v>12</v>
      </c>
      <c r="C8" s="6" t="s">
        <v>13</v>
      </c>
      <c r="D8" s="7" t="s">
        <v>12</v>
      </c>
      <c r="E8" s="6"/>
      <c r="F8" s="6"/>
      <c r="G8" s="7" t="s">
        <v>14</v>
      </c>
      <c r="H8" s="8">
        <f t="shared" si="1"/>
        <v>1</v>
      </c>
      <c r="I8" s="8" t="str">
        <f t="shared" si="2"/>
        <v/>
      </c>
    </row>
    <row r="9" ht="19.5" customHeight="1">
      <c r="A9" s="5" t="s">
        <v>18</v>
      </c>
      <c r="B9" s="6" t="s">
        <v>13</v>
      </c>
      <c r="C9" s="6" t="s">
        <v>13</v>
      </c>
      <c r="D9" s="7" t="s">
        <v>12</v>
      </c>
      <c r="E9" s="6"/>
      <c r="F9" s="6"/>
      <c r="G9" s="7" t="s">
        <v>14</v>
      </c>
      <c r="H9" s="8">
        <f t="shared" si="1"/>
        <v>2</v>
      </c>
      <c r="I9" s="8" t="str">
        <f t="shared" si="2"/>
        <v/>
      </c>
    </row>
    <row r="10" ht="19.5" customHeight="1">
      <c r="A10" s="5" t="s">
        <v>19</v>
      </c>
      <c r="B10" s="6" t="s">
        <v>13</v>
      </c>
      <c r="C10" s="6" t="s">
        <v>13</v>
      </c>
      <c r="D10" s="7" t="s">
        <v>12</v>
      </c>
      <c r="E10" s="7" t="s">
        <v>13</v>
      </c>
      <c r="F10" s="6"/>
      <c r="G10" s="7" t="s">
        <v>14</v>
      </c>
      <c r="H10" s="8">
        <f t="shared" si="1"/>
        <v>3</v>
      </c>
      <c r="I10" s="8" t="str">
        <f t="shared" si="2"/>
        <v/>
      </c>
    </row>
    <row r="11" ht="19.5" customHeight="1">
      <c r="A11" s="5" t="s">
        <v>20</v>
      </c>
      <c r="B11" s="6" t="s">
        <v>13</v>
      </c>
      <c r="C11" s="6" t="s">
        <v>13</v>
      </c>
      <c r="D11" s="7" t="s">
        <v>13</v>
      </c>
      <c r="E11" s="7" t="s">
        <v>13</v>
      </c>
      <c r="F11" s="6"/>
      <c r="G11" s="7" t="s">
        <v>13</v>
      </c>
      <c r="H11" s="8">
        <f t="shared" si="1"/>
        <v>5</v>
      </c>
      <c r="I11" s="8" t="str">
        <f t="shared" si="2"/>
        <v/>
      </c>
    </row>
    <row r="12" ht="19.5" customHeight="1">
      <c r="A12" s="5" t="s">
        <v>21</v>
      </c>
      <c r="B12" s="6" t="s">
        <v>13</v>
      </c>
      <c r="C12" s="6" t="s">
        <v>13</v>
      </c>
      <c r="D12" s="7" t="s">
        <v>14</v>
      </c>
      <c r="E12" s="7" t="s">
        <v>13</v>
      </c>
      <c r="F12" s="6"/>
      <c r="G12" s="7" t="s">
        <v>13</v>
      </c>
      <c r="H12" s="8">
        <f t="shared" si="1"/>
        <v>4</v>
      </c>
      <c r="I12" s="8" t="str">
        <f t="shared" si="2"/>
        <v/>
      </c>
    </row>
    <row r="13" ht="19.5" customHeight="1">
      <c r="A13" s="5" t="s">
        <v>22</v>
      </c>
      <c r="B13" s="6" t="s">
        <v>14</v>
      </c>
      <c r="C13" s="6" t="s">
        <v>14</v>
      </c>
      <c r="D13" s="7" t="s">
        <v>14</v>
      </c>
      <c r="E13" s="6"/>
      <c r="F13" s="6"/>
      <c r="G13" s="7" t="s">
        <v>13</v>
      </c>
      <c r="H13" s="8">
        <f t="shared" si="1"/>
        <v>1</v>
      </c>
      <c r="I13" s="8" t="str">
        <f t="shared" si="2"/>
        <v/>
      </c>
    </row>
    <row r="14" ht="19.5" customHeight="1">
      <c r="A14" s="5" t="s">
        <v>23</v>
      </c>
      <c r="B14" s="6" t="s">
        <v>14</v>
      </c>
      <c r="C14" s="6" t="s">
        <v>14</v>
      </c>
      <c r="D14" s="7" t="s">
        <v>14</v>
      </c>
      <c r="E14" s="6"/>
      <c r="F14" s="6"/>
      <c r="G14" s="7" t="s">
        <v>13</v>
      </c>
      <c r="H14" s="8">
        <f t="shared" si="1"/>
        <v>1</v>
      </c>
      <c r="I14" s="8" t="str">
        <f t="shared" si="2"/>
        <v/>
      </c>
    </row>
    <row r="15" ht="19.5" customHeight="1">
      <c r="A15" s="5" t="s">
        <v>24</v>
      </c>
      <c r="B15" s="6" t="s">
        <v>14</v>
      </c>
      <c r="C15" s="6" t="s">
        <v>14</v>
      </c>
      <c r="D15" s="7" t="s">
        <v>14</v>
      </c>
      <c r="E15" s="6"/>
      <c r="F15" s="6"/>
      <c r="G15" s="7" t="s">
        <v>13</v>
      </c>
      <c r="H15" s="8">
        <f t="shared" si="1"/>
        <v>1</v>
      </c>
      <c r="I15" s="8" t="str">
        <f t="shared" si="2"/>
        <v/>
      </c>
    </row>
    <row r="16" ht="19.5" customHeight="1">
      <c r="A16" s="5" t="s">
        <v>25</v>
      </c>
      <c r="B16" s="6" t="s">
        <v>14</v>
      </c>
      <c r="C16" s="6" t="s">
        <v>13</v>
      </c>
      <c r="D16" s="7" t="s">
        <v>13</v>
      </c>
      <c r="E16" s="7" t="s">
        <v>13</v>
      </c>
      <c r="F16" s="6"/>
      <c r="G16" s="7" t="s">
        <v>13</v>
      </c>
      <c r="H16" s="8">
        <f t="shared" si="1"/>
        <v>4</v>
      </c>
      <c r="I16" s="8" t="str">
        <f t="shared" si="2"/>
        <v/>
      </c>
    </row>
    <row r="17" ht="19.5" customHeight="1">
      <c r="A17" s="5" t="s">
        <v>26</v>
      </c>
      <c r="B17" s="6" t="s">
        <v>14</v>
      </c>
      <c r="C17" s="6" t="s">
        <v>13</v>
      </c>
      <c r="D17" s="7" t="s">
        <v>13</v>
      </c>
      <c r="E17" s="7" t="s">
        <v>13</v>
      </c>
      <c r="F17" s="6"/>
      <c r="G17" s="7" t="s">
        <v>14</v>
      </c>
      <c r="H17" s="8">
        <f t="shared" si="1"/>
        <v>3</v>
      </c>
      <c r="I17" s="8" t="str">
        <f t="shared" si="2"/>
        <v/>
      </c>
    </row>
    <row r="18" ht="19.5" customHeight="1">
      <c r="A18" s="5" t="s">
        <v>27</v>
      </c>
      <c r="B18" s="6" t="s">
        <v>14</v>
      </c>
      <c r="C18" s="6" t="s">
        <v>13</v>
      </c>
      <c r="D18" s="7" t="s">
        <v>13</v>
      </c>
      <c r="E18" s="7" t="s">
        <v>13</v>
      </c>
      <c r="F18" s="6"/>
      <c r="G18" s="7" t="s">
        <v>14</v>
      </c>
      <c r="H18" s="8">
        <f t="shared" si="1"/>
        <v>3</v>
      </c>
      <c r="I18" s="8" t="str">
        <f t="shared" si="2"/>
        <v/>
      </c>
    </row>
    <row r="19" ht="19.5" customHeight="1">
      <c r="A19" s="5" t="s">
        <v>28</v>
      </c>
      <c r="B19" s="6" t="s">
        <v>13</v>
      </c>
      <c r="C19" s="6" t="s">
        <v>13</v>
      </c>
      <c r="D19" s="7" t="s">
        <v>14</v>
      </c>
      <c r="E19" s="7" t="s">
        <v>13</v>
      </c>
      <c r="F19" s="6"/>
      <c r="G19" s="7" t="s">
        <v>14</v>
      </c>
      <c r="H19" s="8">
        <f t="shared" si="1"/>
        <v>3</v>
      </c>
      <c r="I19" s="8" t="str">
        <f t="shared" si="2"/>
        <v/>
      </c>
    </row>
    <row r="20" ht="19.5" customHeight="1">
      <c r="A20" s="5" t="s">
        <v>29</v>
      </c>
      <c r="B20" s="6" t="s">
        <v>13</v>
      </c>
      <c r="C20" s="6" t="s">
        <v>13</v>
      </c>
      <c r="D20" s="7" t="s">
        <v>14</v>
      </c>
      <c r="E20" s="7" t="s">
        <v>13</v>
      </c>
      <c r="F20" s="6"/>
      <c r="G20" s="7" t="s">
        <v>13</v>
      </c>
      <c r="H20" s="8">
        <f t="shared" si="1"/>
        <v>4</v>
      </c>
      <c r="I20" s="8" t="str">
        <f t="shared" si="2"/>
        <v/>
      </c>
    </row>
    <row r="21" ht="19.5" customHeight="1">
      <c r="A21" s="5" t="s">
        <v>30</v>
      </c>
      <c r="B21" s="6" t="s">
        <v>13</v>
      </c>
      <c r="C21" s="6" t="s">
        <v>13</v>
      </c>
      <c r="D21" s="7" t="s">
        <v>14</v>
      </c>
      <c r="E21" s="7" t="s">
        <v>13</v>
      </c>
      <c r="F21" s="6"/>
      <c r="G21" s="7" t="s">
        <v>13</v>
      </c>
      <c r="H21" s="8">
        <f t="shared" si="1"/>
        <v>4</v>
      </c>
      <c r="I21" s="8" t="str">
        <f t="shared" si="2"/>
        <v/>
      </c>
    </row>
    <row r="22" ht="19.5" customHeight="1">
      <c r="A22" s="5" t="s">
        <v>31</v>
      </c>
      <c r="B22" s="6" t="s">
        <v>13</v>
      </c>
      <c r="C22" s="6" t="s">
        <v>13</v>
      </c>
      <c r="D22" s="7" t="s">
        <v>14</v>
      </c>
      <c r="E22" s="7" t="s">
        <v>13</v>
      </c>
      <c r="F22" s="6"/>
      <c r="G22" s="7" t="s">
        <v>14</v>
      </c>
      <c r="H22" s="8">
        <f t="shared" si="1"/>
        <v>3</v>
      </c>
      <c r="I22" s="8" t="str">
        <f t="shared" si="2"/>
        <v/>
      </c>
    </row>
    <row r="23" ht="19.5" customHeight="1">
      <c r="A23" s="5" t="s">
        <v>32</v>
      </c>
      <c r="B23" s="6" t="s">
        <v>13</v>
      </c>
      <c r="C23" s="6" t="s">
        <v>13</v>
      </c>
      <c r="D23" s="7" t="s">
        <v>14</v>
      </c>
      <c r="E23" s="7" t="s">
        <v>13</v>
      </c>
      <c r="F23" s="6"/>
      <c r="G23" s="7" t="s">
        <v>14</v>
      </c>
      <c r="H23" s="8">
        <f t="shared" si="1"/>
        <v>3</v>
      </c>
      <c r="I23" s="8" t="str">
        <f t="shared" si="2"/>
        <v/>
      </c>
    </row>
    <row r="24" ht="19.5" customHeight="1">
      <c r="A24" s="5" t="s">
        <v>33</v>
      </c>
      <c r="B24" s="6" t="s">
        <v>13</v>
      </c>
      <c r="C24" s="6" t="s">
        <v>13</v>
      </c>
      <c r="D24" s="7" t="s">
        <v>14</v>
      </c>
      <c r="E24" s="7" t="s">
        <v>13</v>
      </c>
      <c r="F24" s="6"/>
      <c r="G24" s="7" t="s">
        <v>14</v>
      </c>
      <c r="H24" s="8">
        <f t="shared" si="1"/>
        <v>3</v>
      </c>
      <c r="I24" s="8" t="str">
        <f t="shared" si="2"/>
        <v/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24"/>
  <conditionalFormatting sqref="A5:I24">
    <cfRule type="expression" dxfId="0" priority="1">
      <formula>$I5="YES"</formula>
    </cfRule>
  </conditionalFormatting>
  <conditionalFormatting sqref="B5:G24">
    <cfRule type="cellIs" dxfId="0" priority="2" operator="equal">
      <formula>"A"</formula>
    </cfRule>
  </conditionalFormatting>
  <conditionalFormatting sqref="B5:G24">
    <cfRule type="cellIs" dxfId="1" priority="3" operator="equal">
      <formula>"B"</formula>
    </cfRule>
  </conditionalFormatting>
  <conditionalFormatting sqref="B5:G24">
    <cfRule type="cellIs" dxfId="2" priority="4" operator="equal">
      <formula>"P"</formula>
    </cfRule>
  </conditionalFormatting>
  <dataValidations>
    <dataValidation type="list" allowBlank="1" sqref="B5:G24">
      <formula1>"A,B,P"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8.0"/>
    <col customWidth="1" min="4" max="5" width="9.0"/>
    <col customWidth="1" min="6" max="7" width="10.0"/>
    <col customWidth="1" min="8" max="8" width="8.0"/>
    <col customWidth="1" min="9" max="9" width="10.0"/>
    <col customWidth="1" min="10" max="26" width="8.71"/>
  </cols>
  <sheetData>
    <row r="1" ht="19.5" customHeight="1">
      <c r="A1" s="1" t="s">
        <v>36</v>
      </c>
    </row>
    <row r="2" ht="19.5" customHeight="1">
      <c r="A2" s="2" t="s">
        <v>1</v>
      </c>
    </row>
    <row r="3" ht="19.5" customHeight="1"/>
    <row r="4" ht="19.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3" t="s">
        <v>10</v>
      </c>
    </row>
    <row r="5" ht="19.5" customHeight="1">
      <c r="A5" s="5" t="s">
        <v>11</v>
      </c>
      <c r="B5" s="6" t="s">
        <v>12</v>
      </c>
      <c r="C5" s="6" t="s">
        <v>13</v>
      </c>
      <c r="D5" s="7" t="s">
        <v>12</v>
      </c>
      <c r="E5" s="6"/>
      <c r="F5" s="6"/>
      <c r="G5" s="7" t="s">
        <v>14</v>
      </c>
      <c r="H5" s="8">
        <f t="shared" ref="H5:H24" si="1">COUNTIF(B5:G5,"A")</f>
        <v>1</v>
      </c>
      <c r="I5" s="8" t="str">
        <f t="shared" ref="I5:I24" si="2">IF(H5=6,"YES","")</f>
        <v/>
      </c>
    </row>
    <row r="6" ht="19.5" customHeight="1">
      <c r="A6" s="5" t="s">
        <v>15</v>
      </c>
      <c r="B6" s="6" t="s">
        <v>12</v>
      </c>
      <c r="C6" s="6" t="s">
        <v>13</v>
      </c>
      <c r="D6" s="7" t="s">
        <v>12</v>
      </c>
      <c r="E6" s="6"/>
      <c r="F6" s="6"/>
      <c r="G6" s="7" t="s">
        <v>14</v>
      </c>
      <c r="H6" s="8">
        <f t="shared" si="1"/>
        <v>1</v>
      </c>
      <c r="I6" s="8" t="str">
        <f t="shared" si="2"/>
        <v/>
      </c>
    </row>
    <row r="7" ht="19.5" customHeight="1">
      <c r="A7" s="5" t="s">
        <v>16</v>
      </c>
      <c r="B7" s="6" t="s">
        <v>12</v>
      </c>
      <c r="C7" s="6" t="s">
        <v>13</v>
      </c>
      <c r="D7" s="7" t="s">
        <v>12</v>
      </c>
      <c r="E7" s="6"/>
      <c r="F7" s="6"/>
      <c r="G7" s="7" t="s">
        <v>14</v>
      </c>
      <c r="H7" s="8">
        <f t="shared" si="1"/>
        <v>1</v>
      </c>
      <c r="I7" s="8" t="str">
        <f t="shared" si="2"/>
        <v/>
      </c>
    </row>
    <row r="8" ht="19.5" customHeight="1">
      <c r="A8" s="5" t="s">
        <v>17</v>
      </c>
      <c r="B8" s="6" t="s">
        <v>12</v>
      </c>
      <c r="C8" s="6" t="s">
        <v>13</v>
      </c>
      <c r="D8" s="7" t="s">
        <v>12</v>
      </c>
      <c r="E8" s="6"/>
      <c r="F8" s="6"/>
      <c r="G8" s="7" t="s">
        <v>14</v>
      </c>
      <c r="H8" s="8">
        <f t="shared" si="1"/>
        <v>1</v>
      </c>
      <c r="I8" s="8" t="str">
        <f t="shared" si="2"/>
        <v/>
      </c>
    </row>
    <row r="9" ht="19.5" customHeight="1">
      <c r="A9" s="5" t="s">
        <v>18</v>
      </c>
      <c r="B9" s="6" t="s">
        <v>13</v>
      </c>
      <c r="C9" s="6" t="s">
        <v>13</v>
      </c>
      <c r="D9" s="7" t="s">
        <v>13</v>
      </c>
      <c r="E9" s="6"/>
      <c r="F9" s="6"/>
      <c r="G9" s="7" t="s">
        <v>14</v>
      </c>
      <c r="H9" s="8">
        <f t="shared" si="1"/>
        <v>3</v>
      </c>
      <c r="I9" s="8" t="str">
        <f t="shared" si="2"/>
        <v/>
      </c>
    </row>
    <row r="10" ht="19.5" customHeight="1">
      <c r="A10" s="5" t="s">
        <v>19</v>
      </c>
      <c r="B10" s="6" t="s">
        <v>13</v>
      </c>
      <c r="C10" s="6" t="s">
        <v>14</v>
      </c>
      <c r="D10" s="7" t="s">
        <v>13</v>
      </c>
      <c r="E10" s="6"/>
      <c r="F10" s="6"/>
      <c r="G10" s="7" t="s">
        <v>14</v>
      </c>
      <c r="H10" s="8">
        <f t="shared" si="1"/>
        <v>2</v>
      </c>
      <c r="I10" s="8" t="str">
        <f t="shared" si="2"/>
        <v/>
      </c>
    </row>
    <row r="11" ht="19.5" customHeight="1">
      <c r="A11" s="5" t="s">
        <v>20</v>
      </c>
      <c r="B11" s="6" t="s">
        <v>13</v>
      </c>
      <c r="C11" s="6" t="s">
        <v>14</v>
      </c>
      <c r="D11" s="7" t="s">
        <v>13</v>
      </c>
      <c r="E11" s="6"/>
      <c r="F11" s="6"/>
      <c r="G11" s="7" t="s">
        <v>14</v>
      </c>
      <c r="H11" s="8">
        <f t="shared" si="1"/>
        <v>2</v>
      </c>
      <c r="I11" s="8" t="str">
        <f t="shared" si="2"/>
        <v/>
      </c>
    </row>
    <row r="12" ht="19.5" customHeight="1">
      <c r="A12" s="5" t="s">
        <v>21</v>
      </c>
      <c r="B12" s="6" t="s">
        <v>13</v>
      </c>
      <c r="C12" s="6" t="s">
        <v>14</v>
      </c>
      <c r="D12" s="7" t="s">
        <v>14</v>
      </c>
      <c r="E12" s="6"/>
      <c r="F12" s="6"/>
      <c r="G12" s="7" t="s">
        <v>14</v>
      </c>
      <c r="H12" s="8">
        <f t="shared" si="1"/>
        <v>1</v>
      </c>
      <c r="I12" s="8" t="str">
        <f t="shared" si="2"/>
        <v/>
      </c>
    </row>
    <row r="13" ht="19.5" customHeight="1">
      <c r="A13" s="5" t="s">
        <v>22</v>
      </c>
      <c r="B13" s="6" t="s">
        <v>13</v>
      </c>
      <c r="C13" s="6" t="s">
        <v>13</v>
      </c>
      <c r="D13" s="7" t="s">
        <v>14</v>
      </c>
      <c r="E13" s="7" t="s">
        <v>13</v>
      </c>
      <c r="F13" s="6"/>
      <c r="G13" s="7" t="s">
        <v>13</v>
      </c>
      <c r="H13" s="8">
        <f t="shared" si="1"/>
        <v>4</v>
      </c>
      <c r="I13" s="8" t="str">
        <f t="shared" si="2"/>
        <v/>
      </c>
    </row>
    <row r="14" ht="19.5" customHeight="1">
      <c r="A14" s="5" t="s">
        <v>23</v>
      </c>
      <c r="B14" s="6" t="s">
        <v>13</v>
      </c>
      <c r="C14" s="6" t="s">
        <v>13</v>
      </c>
      <c r="D14" s="7" t="s">
        <v>14</v>
      </c>
      <c r="E14" s="7" t="s">
        <v>13</v>
      </c>
      <c r="F14" s="6"/>
      <c r="G14" s="7" t="s">
        <v>13</v>
      </c>
      <c r="H14" s="8">
        <f t="shared" si="1"/>
        <v>4</v>
      </c>
      <c r="I14" s="8" t="str">
        <f t="shared" si="2"/>
        <v/>
      </c>
    </row>
    <row r="15" ht="19.5" customHeight="1">
      <c r="A15" s="5" t="s">
        <v>24</v>
      </c>
      <c r="B15" s="6" t="s">
        <v>13</v>
      </c>
      <c r="C15" s="6" t="s">
        <v>13</v>
      </c>
      <c r="D15" s="7" t="s">
        <v>14</v>
      </c>
      <c r="E15" s="7" t="s">
        <v>13</v>
      </c>
      <c r="F15" s="6"/>
      <c r="G15" s="7" t="s">
        <v>13</v>
      </c>
      <c r="H15" s="8">
        <f t="shared" si="1"/>
        <v>4</v>
      </c>
      <c r="I15" s="8" t="str">
        <f t="shared" si="2"/>
        <v/>
      </c>
    </row>
    <row r="16" ht="19.5" customHeight="1">
      <c r="A16" s="5" t="s">
        <v>25</v>
      </c>
      <c r="B16" s="6" t="s">
        <v>13</v>
      </c>
      <c r="C16" s="6" t="s">
        <v>13</v>
      </c>
      <c r="D16" s="7" t="s">
        <v>14</v>
      </c>
      <c r="E16" s="7" t="s">
        <v>13</v>
      </c>
      <c r="F16" s="6"/>
      <c r="G16" s="7" t="s">
        <v>13</v>
      </c>
      <c r="H16" s="8">
        <f t="shared" si="1"/>
        <v>4</v>
      </c>
      <c r="I16" s="8" t="str">
        <f t="shared" si="2"/>
        <v/>
      </c>
    </row>
    <row r="17" ht="19.5" customHeight="1">
      <c r="A17" s="5" t="s">
        <v>26</v>
      </c>
      <c r="B17" s="6" t="s">
        <v>13</v>
      </c>
      <c r="C17" s="6" t="s">
        <v>13</v>
      </c>
      <c r="D17" s="7" t="s">
        <v>14</v>
      </c>
      <c r="E17" s="7" t="s">
        <v>13</v>
      </c>
      <c r="F17" s="6"/>
      <c r="G17" s="7" t="s">
        <v>13</v>
      </c>
      <c r="H17" s="8">
        <f t="shared" si="1"/>
        <v>4</v>
      </c>
      <c r="I17" s="8" t="str">
        <f t="shared" si="2"/>
        <v/>
      </c>
    </row>
    <row r="18" ht="19.5" customHeight="1">
      <c r="A18" s="5" t="s">
        <v>27</v>
      </c>
      <c r="B18" s="6" t="s">
        <v>13</v>
      </c>
      <c r="C18" s="6" t="s">
        <v>13</v>
      </c>
      <c r="D18" s="7" t="s">
        <v>14</v>
      </c>
      <c r="E18" s="7" t="s">
        <v>13</v>
      </c>
      <c r="F18" s="6"/>
      <c r="G18" s="7" t="s">
        <v>14</v>
      </c>
      <c r="H18" s="8">
        <f t="shared" si="1"/>
        <v>3</v>
      </c>
      <c r="I18" s="8" t="str">
        <f t="shared" si="2"/>
        <v/>
      </c>
    </row>
    <row r="19" ht="19.5" customHeight="1">
      <c r="A19" s="5" t="s">
        <v>28</v>
      </c>
      <c r="B19" s="6" t="s">
        <v>14</v>
      </c>
      <c r="C19" s="6" t="s">
        <v>13</v>
      </c>
      <c r="D19" s="7" t="s">
        <v>13</v>
      </c>
      <c r="E19" s="7" t="s">
        <v>13</v>
      </c>
      <c r="F19" s="6"/>
      <c r="G19" s="7" t="s">
        <v>13</v>
      </c>
      <c r="H19" s="8">
        <f t="shared" si="1"/>
        <v>4</v>
      </c>
      <c r="I19" s="8" t="str">
        <f t="shared" si="2"/>
        <v/>
      </c>
    </row>
    <row r="20" ht="19.5" customHeight="1">
      <c r="A20" s="5" t="s">
        <v>29</v>
      </c>
      <c r="B20" s="6" t="s">
        <v>14</v>
      </c>
      <c r="C20" s="6" t="s">
        <v>13</v>
      </c>
      <c r="D20" s="7" t="s">
        <v>13</v>
      </c>
      <c r="E20" s="7" t="s">
        <v>13</v>
      </c>
      <c r="F20" s="6"/>
      <c r="G20" s="7" t="s">
        <v>13</v>
      </c>
      <c r="H20" s="8">
        <f t="shared" si="1"/>
        <v>4</v>
      </c>
      <c r="I20" s="8" t="str">
        <f t="shared" si="2"/>
        <v/>
      </c>
    </row>
    <row r="21" ht="19.5" customHeight="1">
      <c r="A21" s="5" t="s">
        <v>30</v>
      </c>
      <c r="B21" s="6" t="s">
        <v>14</v>
      </c>
      <c r="C21" s="6" t="s">
        <v>13</v>
      </c>
      <c r="D21" s="7" t="s">
        <v>13</v>
      </c>
      <c r="E21" s="7" t="s">
        <v>13</v>
      </c>
      <c r="F21" s="6"/>
      <c r="G21" s="7" t="s">
        <v>13</v>
      </c>
      <c r="H21" s="8">
        <f t="shared" si="1"/>
        <v>4</v>
      </c>
      <c r="I21" s="8" t="str">
        <f t="shared" si="2"/>
        <v/>
      </c>
    </row>
    <row r="22" ht="19.5" customHeight="1">
      <c r="A22" s="5" t="s">
        <v>31</v>
      </c>
      <c r="B22" s="6" t="s">
        <v>13</v>
      </c>
      <c r="C22" s="6" t="s">
        <v>13</v>
      </c>
      <c r="D22" s="7" t="s">
        <v>13</v>
      </c>
      <c r="E22" s="7" t="s">
        <v>13</v>
      </c>
      <c r="F22" s="6"/>
      <c r="G22" s="7" t="s">
        <v>13</v>
      </c>
      <c r="H22" s="8">
        <f t="shared" si="1"/>
        <v>5</v>
      </c>
      <c r="I22" s="8" t="str">
        <f t="shared" si="2"/>
        <v/>
      </c>
    </row>
    <row r="23" ht="19.5" customHeight="1">
      <c r="A23" s="5" t="s">
        <v>32</v>
      </c>
      <c r="B23" s="6" t="s">
        <v>13</v>
      </c>
      <c r="C23" s="6" t="s">
        <v>13</v>
      </c>
      <c r="D23" s="7" t="s">
        <v>13</v>
      </c>
      <c r="E23" s="7" t="s">
        <v>13</v>
      </c>
      <c r="F23" s="6"/>
      <c r="G23" s="7" t="s">
        <v>13</v>
      </c>
      <c r="H23" s="8">
        <f t="shared" si="1"/>
        <v>5</v>
      </c>
      <c r="I23" s="8" t="str">
        <f t="shared" si="2"/>
        <v/>
      </c>
    </row>
    <row r="24" ht="19.5" customHeight="1">
      <c r="A24" s="5" t="s">
        <v>33</v>
      </c>
      <c r="B24" s="6" t="s">
        <v>13</v>
      </c>
      <c r="C24" s="6" t="s">
        <v>13</v>
      </c>
      <c r="D24" s="7" t="s">
        <v>14</v>
      </c>
      <c r="E24" s="7" t="s">
        <v>13</v>
      </c>
      <c r="F24" s="6"/>
      <c r="G24" s="7" t="s">
        <v>13</v>
      </c>
      <c r="H24" s="8">
        <f t="shared" si="1"/>
        <v>4</v>
      </c>
      <c r="I24" s="8" t="str">
        <f t="shared" si="2"/>
        <v/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24"/>
  <conditionalFormatting sqref="A5:I24">
    <cfRule type="expression" dxfId="0" priority="1">
      <formula>$I5="YES"</formula>
    </cfRule>
  </conditionalFormatting>
  <conditionalFormatting sqref="B5:G24">
    <cfRule type="cellIs" dxfId="0" priority="2" operator="equal">
      <formula>"A"</formula>
    </cfRule>
  </conditionalFormatting>
  <conditionalFormatting sqref="B5:G24">
    <cfRule type="cellIs" dxfId="1" priority="3" operator="equal">
      <formula>"B"</formula>
    </cfRule>
  </conditionalFormatting>
  <conditionalFormatting sqref="B5:G24">
    <cfRule type="cellIs" dxfId="2" priority="4" operator="equal">
      <formula>"P"</formula>
    </cfRule>
  </conditionalFormatting>
  <dataValidations>
    <dataValidation type="list" allowBlank="1" sqref="B5:G24">
      <formula1>"A,B,P"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8.0"/>
    <col customWidth="1" min="4" max="5" width="9.0"/>
    <col customWidth="1" min="6" max="7" width="10.0"/>
    <col customWidth="1" min="8" max="8" width="11.0"/>
    <col customWidth="1" min="9" max="9" width="11.57"/>
    <col customWidth="1" min="10" max="26" width="8.71"/>
  </cols>
  <sheetData>
    <row r="1" ht="19.5" customHeight="1">
      <c r="A1" s="1" t="s">
        <v>37</v>
      </c>
    </row>
    <row r="2" ht="19.5" customHeight="1">
      <c r="A2" s="2" t="s">
        <v>1</v>
      </c>
    </row>
    <row r="3" ht="19.5" customHeight="1"/>
    <row r="4" ht="19.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3" t="s">
        <v>10</v>
      </c>
    </row>
    <row r="5" ht="19.5" customHeight="1">
      <c r="A5" s="5" t="s">
        <v>11</v>
      </c>
      <c r="B5" s="6" t="s">
        <v>12</v>
      </c>
      <c r="C5" s="6" t="s">
        <v>14</v>
      </c>
      <c r="D5" s="7" t="s">
        <v>12</v>
      </c>
      <c r="E5" s="6"/>
      <c r="F5" s="6"/>
      <c r="G5" s="7" t="s">
        <v>14</v>
      </c>
      <c r="H5" s="8">
        <f t="shared" ref="H5:H24" si="1">COUNTIF(B5:G5,"A")</f>
        <v>0</v>
      </c>
      <c r="I5" s="8" t="str">
        <f t="shared" ref="I5:I24" si="2">IF(H5=6,"YES","")</f>
        <v/>
      </c>
    </row>
    <row r="6" ht="19.5" customHeight="1">
      <c r="A6" s="5" t="s">
        <v>15</v>
      </c>
      <c r="B6" s="6" t="s">
        <v>12</v>
      </c>
      <c r="C6" s="6" t="s">
        <v>14</v>
      </c>
      <c r="D6" s="7" t="s">
        <v>12</v>
      </c>
      <c r="E6" s="6"/>
      <c r="F6" s="6"/>
      <c r="G6" s="7" t="s">
        <v>14</v>
      </c>
      <c r="H6" s="8">
        <f t="shared" si="1"/>
        <v>0</v>
      </c>
      <c r="I6" s="8" t="str">
        <f t="shared" si="2"/>
        <v/>
      </c>
    </row>
    <row r="7" ht="19.5" customHeight="1">
      <c r="A7" s="5" t="s">
        <v>16</v>
      </c>
      <c r="B7" s="6" t="s">
        <v>12</v>
      </c>
      <c r="C7" s="6" t="s">
        <v>14</v>
      </c>
      <c r="D7" s="7" t="s">
        <v>12</v>
      </c>
      <c r="E7" s="6"/>
      <c r="F7" s="6"/>
      <c r="G7" s="7" t="s">
        <v>14</v>
      </c>
      <c r="H7" s="8">
        <f t="shared" si="1"/>
        <v>0</v>
      </c>
      <c r="I7" s="8" t="str">
        <f t="shared" si="2"/>
        <v/>
      </c>
    </row>
    <row r="8" ht="19.5" customHeight="1">
      <c r="A8" s="5" t="s">
        <v>17</v>
      </c>
      <c r="B8" s="6" t="s">
        <v>12</v>
      </c>
      <c r="C8" s="6" t="s">
        <v>14</v>
      </c>
      <c r="D8" s="7" t="s">
        <v>12</v>
      </c>
      <c r="E8" s="6"/>
      <c r="F8" s="6"/>
      <c r="G8" s="7" t="s">
        <v>14</v>
      </c>
      <c r="H8" s="8">
        <f t="shared" si="1"/>
        <v>0</v>
      </c>
      <c r="I8" s="8" t="str">
        <f t="shared" si="2"/>
        <v/>
      </c>
    </row>
    <row r="9" ht="19.5" customHeight="1">
      <c r="A9" s="5" t="s">
        <v>18</v>
      </c>
      <c r="B9" s="6" t="s">
        <v>13</v>
      </c>
      <c r="C9" s="6" t="s">
        <v>14</v>
      </c>
      <c r="D9" s="7" t="s">
        <v>13</v>
      </c>
      <c r="E9" s="6"/>
      <c r="F9" s="6"/>
      <c r="G9" s="7" t="s">
        <v>14</v>
      </c>
      <c r="H9" s="8">
        <f t="shared" si="1"/>
        <v>2</v>
      </c>
      <c r="I9" s="8" t="str">
        <f t="shared" si="2"/>
        <v/>
      </c>
    </row>
    <row r="10" ht="19.5" customHeight="1">
      <c r="A10" s="5" t="s">
        <v>19</v>
      </c>
      <c r="B10" s="6" t="s">
        <v>13</v>
      </c>
      <c r="C10" s="6" t="s">
        <v>14</v>
      </c>
      <c r="D10" s="7" t="s">
        <v>13</v>
      </c>
      <c r="E10" s="7" t="s">
        <v>13</v>
      </c>
      <c r="F10" s="6"/>
      <c r="G10" s="7" t="s">
        <v>14</v>
      </c>
      <c r="H10" s="8">
        <f t="shared" si="1"/>
        <v>3</v>
      </c>
      <c r="I10" s="8" t="str">
        <f t="shared" si="2"/>
        <v/>
      </c>
    </row>
    <row r="11" ht="19.5" customHeight="1">
      <c r="A11" s="5" t="s">
        <v>20</v>
      </c>
      <c r="B11" s="6" t="s">
        <v>13</v>
      </c>
      <c r="C11" s="6" t="s">
        <v>14</v>
      </c>
      <c r="D11" s="7" t="s">
        <v>13</v>
      </c>
      <c r="E11" s="7" t="s">
        <v>13</v>
      </c>
      <c r="F11" s="6"/>
      <c r="G11" s="7" t="s">
        <v>13</v>
      </c>
      <c r="H11" s="8">
        <f t="shared" si="1"/>
        <v>4</v>
      </c>
      <c r="I11" s="8" t="str">
        <f t="shared" si="2"/>
        <v/>
      </c>
    </row>
    <row r="12" ht="19.5" customHeight="1">
      <c r="A12" s="5" t="s">
        <v>21</v>
      </c>
      <c r="B12" s="6" t="s">
        <v>13</v>
      </c>
      <c r="C12" s="6" t="s">
        <v>14</v>
      </c>
      <c r="D12" s="7" t="s">
        <v>14</v>
      </c>
      <c r="E12" s="7" t="s">
        <v>13</v>
      </c>
      <c r="F12" s="6"/>
      <c r="G12" s="7" t="s">
        <v>13</v>
      </c>
      <c r="H12" s="8">
        <f t="shared" si="1"/>
        <v>3</v>
      </c>
      <c r="I12" s="8" t="str">
        <f t="shared" si="2"/>
        <v/>
      </c>
    </row>
    <row r="13" ht="19.5" customHeight="1">
      <c r="A13" s="5" t="s">
        <v>22</v>
      </c>
      <c r="B13" s="6" t="s">
        <v>13</v>
      </c>
      <c r="C13" s="6" t="s">
        <v>13</v>
      </c>
      <c r="D13" s="7" t="s">
        <v>14</v>
      </c>
      <c r="E13" s="7" t="s">
        <v>13</v>
      </c>
      <c r="F13" s="6"/>
      <c r="G13" s="7" t="s">
        <v>13</v>
      </c>
      <c r="H13" s="8">
        <f t="shared" si="1"/>
        <v>4</v>
      </c>
      <c r="I13" s="8" t="str">
        <f t="shared" si="2"/>
        <v/>
      </c>
    </row>
    <row r="14" ht="19.5" customHeight="1">
      <c r="A14" s="5" t="s">
        <v>23</v>
      </c>
      <c r="B14" s="6" t="s">
        <v>13</v>
      </c>
      <c r="C14" s="6" t="s">
        <v>13</v>
      </c>
      <c r="D14" s="7" t="s">
        <v>14</v>
      </c>
      <c r="E14" s="7" t="s">
        <v>13</v>
      </c>
      <c r="F14" s="6"/>
      <c r="G14" s="7" t="s">
        <v>13</v>
      </c>
      <c r="H14" s="8">
        <f t="shared" si="1"/>
        <v>4</v>
      </c>
      <c r="I14" s="8" t="str">
        <f t="shared" si="2"/>
        <v/>
      </c>
    </row>
    <row r="15" ht="19.5" customHeight="1">
      <c r="A15" s="5" t="s">
        <v>24</v>
      </c>
      <c r="B15" s="6" t="s">
        <v>13</v>
      </c>
      <c r="C15" s="6" t="s">
        <v>13</v>
      </c>
      <c r="D15" s="7" t="s">
        <v>14</v>
      </c>
      <c r="E15" s="7" t="s">
        <v>13</v>
      </c>
      <c r="F15" s="6"/>
      <c r="G15" s="7" t="s">
        <v>14</v>
      </c>
      <c r="H15" s="8">
        <f t="shared" si="1"/>
        <v>3</v>
      </c>
      <c r="I15" s="8" t="str">
        <f t="shared" si="2"/>
        <v/>
      </c>
    </row>
    <row r="16" ht="19.5" customHeight="1">
      <c r="A16" s="5" t="s">
        <v>25</v>
      </c>
      <c r="B16" s="6" t="s">
        <v>13</v>
      </c>
      <c r="C16" s="6" t="s">
        <v>13</v>
      </c>
      <c r="D16" s="7" t="s">
        <v>13</v>
      </c>
      <c r="E16" s="7" t="s">
        <v>13</v>
      </c>
      <c r="F16" s="6"/>
      <c r="G16" s="7" t="s">
        <v>14</v>
      </c>
      <c r="H16" s="8">
        <f t="shared" si="1"/>
        <v>4</v>
      </c>
      <c r="I16" s="8" t="str">
        <f t="shared" si="2"/>
        <v/>
      </c>
    </row>
    <row r="17" ht="19.5" customHeight="1">
      <c r="A17" s="5" t="s">
        <v>26</v>
      </c>
      <c r="B17" s="6" t="s">
        <v>13</v>
      </c>
      <c r="C17" s="6" t="s">
        <v>13</v>
      </c>
      <c r="D17" s="7" t="s">
        <v>13</v>
      </c>
      <c r="E17" s="7" t="s">
        <v>13</v>
      </c>
      <c r="F17" s="6"/>
      <c r="G17" s="7" t="s">
        <v>14</v>
      </c>
      <c r="H17" s="8">
        <f t="shared" si="1"/>
        <v>4</v>
      </c>
      <c r="I17" s="8" t="str">
        <f t="shared" si="2"/>
        <v/>
      </c>
    </row>
    <row r="18" ht="19.5" customHeight="1">
      <c r="A18" s="5" t="s">
        <v>27</v>
      </c>
      <c r="B18" s="6" t="s">
        <v>13</v>
      </c>
      <c r="C18" s="6" t="s">
        <v>13</v>
      </c>
      <c r="D18" s="7" t="s">
        <v>13</v>
      </c>
      <c r="E18" s="7" t="s">
        <v>13</v>
      </c>
      <c r="F18" s="6"/>
      <c r="G18" s="7" t="s">
        <v>14</v>
      </c>
      <c r="H18" s="8">
        <f t="shared" si="1"/>
        <v>4</v>
      </c>
      <c r="I18" s="8" t="str">
        <f t="shared" si="2"/>
        <v/>
      </c>
    </row>
    <row r="19" ht="19.5" customHeight="1">
      <c r="A19" s="5" t="s">
        <v>28</v>
      </c>
      <c r="B19" s="6" t="s">
        <v>13</v>
      </c>
      <c r="C19" s="6" t="s">
        <v>14</v>
      </c>
      <c r="D19" s="7" t="s">
        <v>13</v>
      </c>
      <c r="E19" s="6"/>
      <c r="F19" s="6"/>
      <c r="G19" s="7" t="s">
        <v>14</v>
      </c>
      <c r="H19" s="8">
        <f t="shared" si="1"/>
        <v>2</v>
      </c>
      <c r="I19" s="8" t="str">
        <f t="shared" si="2"/>
        <v/>
      </c>
    </row>
    <row r="20" ht="19.5" customHeight="1">
      <c r="A20" s="5" t="s">
        <v>29</v>
      </c>
      <c r="B20" s="6" t="s">
        <v>13</v>
      </c>
      <c r="C20" s="6" t="s">
        <v>14</v>
      </c>
      <c r="D20" s="7" t="s">
        <v>13</v>
      </c>
      <c r="E20" s="6"/>
      <c r="F20" s="6"/>
      <c r="G20" s="7" t="s">
        <v>14</v>
      </c>
      <c r="H20" s="8">
        <f t="shared" si="1"/>
        <v>2</v>
      </c>
      <c r="I20" s="8" t="str">
        <f t="shared" si="2"/>
        <v/>
      </c>
    </row>
    <row r="21" ht="19.5" customHeight="1">
      <c r="A21" s="5" t="s">
        <v>30</v>
      </c>
      <c r="B21" s="6" t="s">
        <v>14</v>
      </c>
      <c r="C21" s="6" t="s">
        <v>14</v>
      </c>
      <c r="D21" s="7" t="s">
        <v>14</v>
      </c>
      <c r="E21" s="6"/>
      <c r="F21" s="6"/>
      <c r="G21" s="7" t="s">
        <v>14</v>
      </c>
      <c r="H21" s="8">
        <f t="shared" si="1"/>
        <v>0</v>
      </c>
      <c r="I21" s="8" t="str">
        <f t="shared" si="2"/>
        <v/>
      </c>
    </row>
    <row r="22" ht="19.5" customHeight="1">
      <c r="A22" s="5" t="s">
        <v>31</v>
      </c>
      <c r="B22" s="6" t="s">
        <v>14</v>
      </c>
      <c r="C22" s="6" t="s">
        <v>13</v>
      </c>
      <c r="D22" s="7" t="s">
        <v>14</v>
      </c>
      <c r="E22" s="7" t="s">
        <v>13</v>
      </c>
      <c r="F22" s="6"/>
      <c r="G22" s="7" t="s">
        <v>13</v>
      </c>
      <c r="H22" s="8">
        <f t="shared" si="1"/>
        <v>3</v>
      </c>
      <c r="I22" s="8" t="str">
        <f t="shared" si="2"/>
        <v/>
      </c>
    </row>
    <row r="23" ht="19.5" customHeight="1">
      <c r="A23" s="5" t="s">
        <v>32</v>
      </c>
      <c r="B23" s="6" t="s">
        <v>14</v>
      </c>
      <c r="C23" s="6" t="s">
        <v>13</v>
      </c>
      <c r="D23" s="7" t="s">
        <v>14</v>
      </c>
      <c r="E23" s="7" t="s">
        <v>13</v>
      </c>
      <c r="F23" s="6"/>
      <c r="G23" s="7" t="s">
        <v>13</v>
      </c>
      <c r="H23" s="8">
        <f t="shared" si="1"/>
        <v>3</v>
      </c>
      <c r="I23" s="8" t="str">
        <f t="shared" si="2"/>
        <v/>
      </c>
    </row>
    <row r="24" ht="19.5" customHeight="1">
      <c r="A24" s="5" t="s">
        <v>33</v>
      </c>
      <c r="B24" s="6" t="s">
        <v>14</v>
      </c>
      <c r="C24" s="6" t="s">
        <v>13</v>
      </c>
      <c r="D24" s="7" t="s">
        <v>14</v>
      </c>
      <c r="E24" s="7" t="s">
        <v>13</v>
      </c>
      <c r="F24" s="6"/>
      <c r="G24" s="7" t="s">
        <v>13</v>
      </c>
      <c r="H24" s="8">
        <f t="shared" si="1"/>
        <v>3</v>
      </c>
      <c r="I24" s="8" t="str">
        <f t="shared" si="2"/>
        <v/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24"/>
  <conditionalFormatting sqref="A5:I24">
    <cfRule type="expression" dxfId="0" priority="1">
      <formula>$I5="YES"</formula>
    </cfRule>
  </conditionalFormatting>
  <conditionalFormatting sqref="B5:G24">
    <cfRule type="cellIs" dxfId="0" priority="2" operator="equal">
      <formula>"A"</formula>
    </cfRule>
  </conditionalFormatting>
  <conditionalFormatting sqref="B5:G24">
    <cfRule type="cellIs" dxfId="1" priority="3" operator="equal">
      <formula>"B"</formula>
    </cfRule>
  </conditionalFormatting>
  <conditionalFormatting sqref="B5:G24">
    <cfRule type="cellIs" dxfId="2" priority="4" operator="equal">
      <formula>"P"</formula>
    </cfRule>
  </conditionalFormatting>
  <dataValidations>
    <dataValidation type="list" allowBlank="1" sqref="B5:G24">
      <formula1>"A,B,P"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3" width="16.0"/>
    <col customWidth="1" min="4" max="5" width="14.0"/>
    <col customWidth="1" min="6" max="6" width="8.71"/>
    <col customWidth="1" min="7" max="7" width="8.0"/>
    <col customWidth="1" min="8" max="8" width="18.0"/>
    <col customWidth="1" min="9" max="26" width="8.71"/>
  </cols>
  <sheetData>
    <row r="1" ht="14.25" customHeight="1">
      <c r="A1" s="1" t="s">
        <v>38</v>
      </c>
    </row>
    <row r="2" ht="14.25" customHeight="1">
      <c r="A2" s="9" t="s">
        <v>39</v>
      </c>
    </row>
    <row r="3" ht="14.25" customHeight="1"/>
    <row r="4" ht="14.25" customHeight="1">
      <c r="A4" s="10" t="s">
        <v>40</v>
      </c>
      <c r="B4" s="10" t="s">
        <v>2</v>
      </c>
      <c r="C4" s="10" t="s">
        <v>41</v>
      </c>
      <c r="D4" s="10" t="s">
        <v>42</v>
      </c>
      <c r="E4" s="10" t="s">
        <v>43</v>
      </c>
      <c r="G4" s="11" t="s">
        <v>44</v>
      </c>
    </row>
    <row r="5" ht="14.25" customHeight="1">
      <c r="A5" s="8" t="s">
        <v>45</v>
      </c>
      <c r="B5" s="8" t="s">
        <v>11</v>
      </c>
      <c r="C5" s="12">
        <f>Monday!H5</f>
        <v>1</v>
      </c>
      <c r="D5" s="8" t="str">
        <f t="shared" ref="D5:D104" si="1">IF(C5=6,"YES","")</f>
        <v/>
      </c>
      <c r="E5" s="8" t="str">
        <f t="shared" ref="E5:E104" si="2">IF(C5&gt;=4,"YES","")</f>
        <v/>
      </c>
      <c r="G5" s="13" t="s">
        <v>13</v>
      </c>
      <c r="H5" s="13" t="s">
        <v>46</v>
      </c>
    </row>
    <row r="6" ht="14.25" customHeight="1">
      <c r="A6" s="8" t="s">
        <v>45</v>
      </c>
      <c r="B6" s="8" t="s">
        <v>15</v>
      </c>
      <c r="C6" s="12">
        <f>Monday!H6</f>
        <v>1</v>
      </c>
      <c r="D6" s="8" t="str">
        <f t="shared" si="1"/>
        <v/>
      </c>
      <c r="E6" s="8" t="str">
        <f t="shared" si="2"/>
        <v/>
      </c>
      <c r="G6" s="13" t="s">
        <v>14</v>
      </c>
      <c r="H6" s="13" t="s">
        <v>47</v>
      </c>
    </row>
    <row r="7" ht="14.25" customHeight="1">
      <c r="A7" s="8" t="s">
        <v>45</v>
      </c>
      <c r="B7" s="8" t="s">
        <v>16</v>
      </c>
      <c r="C7" s="12">
        <f>Monday!H7</f>
        <v>1</v>
      </c>
      <c r="D7" s="8" t="str">
        <f t="shared" si="1"/>
        <v/>
      </c>
      <c r="E7" s="8" t="str">
        <f t="shared" si="2"/>
        <v/>
      </c>
      <c r="G7" s="13" t="s">
        <v>12</v>
      </c>
      <c r="H7" s="13" t="s">
        <v>48</v>
      </c>
    </row>
    <row r="8" ht="14.25" customHeight="1">
      <c r="A8" s="8" t="s">
        <v>45</v>
      </c>
      <c r="B8" s="8" t="s">
        <v>17</v>
      </c>
      <c r="C8" s="12">
        <f>Monday!H8</f>
        <v>1</v>
      </c>
      <c r="D8" s="8" t="str">
        <f t="shared" si="1"/>
        <v/>
      </c>
      <c r="E8" s="8" t="str">
        <f t="shared" si="2"/>
        <v/>
      </c>
    </row>
    <row r="9" ht="14.25" customHeight="1">
      <c r="A9" s="8" t="s">
        <v>45</v>
      </c>
      <c r="B9" s="8" t="s">
        <v>18</v>
      </c>
      <c r="C9" s="12">
        <f>Monday!H9</f>
        <v>2</v>
      </c>
      <c r="D9" s="8" t="str">
        <f t="shared" si="1"/>
        <v/>
      </c>
      <c r="E9" s="8" t="str">
        <f t="shared" si="2"/>
        <v/>
      </c>
    </row>
    <row r="10" ht="14.25" customHeight="1">
      <c r="A10" s="8" t="s">
        <v>45</v>
      </c>
      <c r="B10" s="8" t="s">
        <v>19</v>
      </c>
      <c r="C10" s="12">
        <f>Monday!H10</f>
        <v>2</v>
      </c>
      <c r="D10" s="8" t="str">
        <f t="shared" si="1"/>
        <v/>
      </c>
      <c r="E10" s="8" t="str">
        <f t="shared" si="2"/>
        <v/>
      </c>
    </row>
    <row r="11" ht="14.25" customHeight="1">
      <c r="A11" s="8" t="s">
        <v>45</v>
      </c>
      <c r="B11" s="8" t="s">
        <v>20</v>
      </c>
      <c r="C11" s="12">
        <f>Monday!H11</f>
        <v>3</v>
      </c>
      <c r="D11" s="8" t="str">
        <f t="shared" si="1"/>
        <v/>
      </c>
      <c r="E11" s="8" t="str">
        <f t="shared" si="2"/>
        <v/>
      </c>
    </row>
    <row r="12" ht="14.25" customHeight="1">
      <c r="A12" s="8" t="s">
        <v>45</v>
      </c>
      <c r="B12" s="8" t="s">
        <v>21</v>
      </c>
      <c r="C12" s="12">
        <f>Monday!H12</f>
        <v>3</v>
      </c>
      <c r="D12" s="8" t="str">
        <f t="shared" si="1"/>
        <v/>
      </c>
      <c r="E12" s="8" t="str">
        <f t="shared" si="2"/>
        <v/>
      </c>
    </row>
    <row r="13" ht="14.25" customHeight="1">
      <c r="A13" s="8" t="s">
        <v>45</v>
      </c>
      <c r="B13" s="8" t="s">
        <v>22</v>
      </c>
      <c r="C13" s="12">
        <f>Monday!H13</f>
        <v>2</v>
      </c>
      <c r="D13" s="8" t="str">
        <f t="shared" si="1"/>
        <v/>
      </c>
      <c r="E13" s="8" t="str">
        <f t="shared" si="2"/>
        <v/>
      </c>
    </row>
    <row r="14" ht="14.25" customHeight="1">
      <c r="A14" s="8" t="s">
        <v>45</v>
      </c>
      <c r="B14" s="8" t="s">
        <v>23</v>
      </c>
      <c r="C14" s="12">
        <f>Monday!H14</f>
        <v>3</v>
      </c>
      <c r="D14" s="8" t="str">
        <f t="shared" si="1"/>
        <v/>
      </c>
      <c r="E14" s="8" t="str">
        <f t="shared" si="2"/>
        <v/>
      </c>
    </row>
    <row r="15" ht="14.25" customHeight="1">
      <c r="A15" s="8" t="s">
        <v>45</v>
      </c>
      <c r="B15" s="8" t="s">
        <v>24</v>
      </c>
      <c r="C15" s="12">
        <f>Monday!H15</f>
        <v>3</v>
      </c>
      <c r="D15" s="8" t="str">
        <f t="shared" si="1"/>
        <v/>
      </c>
      <c r="E15" s="8" t="str">
        <f t="shared" si="2"/>
        <v/>
      </c>
    </row>
    <row r="16" ht="14.25" customHeight="1">
      <c r="A16" s="8" t="s">
        <v>45</v>
      </c>
      <c r="B16" s="8" t="s">
        <v>25</v>
      </c>
      <c r="C16" s="12">
        <f>Monday!H16</f>
        <v>4</v>
      </c>
      <c r="D16" s="8" t="str">
        <f t="shared" si="1"/>
        <v/>
      </c>
      <c r="E16" s="8" t="str">
        <f t="shared" si="2"/>
        <v>YES</v>
      </c>
    </row>
    <row r="17" ht="14.25" customHeight="1">
      <c r="A17" s="8" t="s">
        <v>45</v>
      </c>
      <c r="B17" s="8" t="s">
        <v>26</v>
      </c>
      <c r="C17" s="12">
        <f>Monday!H17</f>
        <v>4</v>
      </c>
      <c r="D17" s="8" t="str">
        <f t="shared" si="1"/>
        <v/>
      </c>
      <c r="E17" s="8" t="str">
        <f t="shared" si="2"/>
        <v>YES</v>
      </c>
    </row>
    <row r="18" ht="14.25" customHeight="1">
      <c r="A18" s="8" t="s">
        <v>45</v>
      </c>
      <c r="B18" s="8" t="s">
        <v>27</v>
      </c>
      <c r="C18" s="12">
        <f>Monday!H18</f>
        <v>4</v>
      </c>
      <c r="D18" s="8" t="str">
        <f t="shared" si="1"/>
        <v/>
      </c>
      <c r="E18" s="8" t="str">
        <f t="shared" si="2"/>
        <v>YES</v>
      </c>
    </row>
    <row r="19" ht="14.25" customHeight="1">
      <c r="A19" s="8" t="s">
        <v>45</v>
      </c>
      <c r="B19" s="8" t="s">
        <v>28</v>
      </c>
      <c r="C19" s="12">
        <f>Monday!H19</f>
        <v>3</v>
      </c>
      <c r="D19" s="8" t="str">
        <f t="shared" si="1"/>
        <v/>
      </c>
      <c r="E19" s="8" t="str">
        <f t="shared" si="2"/>
        <v/>
      </c>
    </row>
    <row r="20" ht="14.25" customHeight="1">
      <c r="A20" s="8" t="s">
        <v>45</v>
      </c>
      <c r="B20" s="8" t="s">
        <v>29</v>
      </c>
      <c r="C20" s="12">
        <f>Monday!H20</f>
        <v>3</v>
      </c>
      <c r="D20" s="8" t="str">
        <f t="shared" si="1"/>
        <v/>
      </c>
      <c r="E20" s="8" t="str">
        <f t="shared" si="2"/>
        <v/>
      </c>
    </row>
    <row r="21" ht="14.25" customHeight="1">
      <c r="A21" s="8" t="s">
        <v>45</v>
      </c>
      <c r="B21" s="8" t="s">
        <v>30</v>
      </c>
      <c r="C21" s="12">
        <f>Monday!H21</f>
        <v>3</v>
      </c>
      <c r="D21" s="8" t="str">
        <f t="shared" si="1"/>
        <v/>
      </c>
      <c r="E21" s="8" t="str">
        <f t="shared" si="2"/>
        <v/>
      </c>
    </row>
    <row r="22" ht="14.25" customHeight="1">
      <c r="A22" s="8" t="s">
        <v>45</v>
      </c>
      <c r="B22" s="8" t="s">
        <v>31</v>
      </c>
      <c r="C22" s="12">
        <f>Monday!H22</f>
        <v>3</v>
      </c>
      <c r="D22" s="8" t="str">
        <f t="shared" si="1"/>
        <v/>
      </c>
      <c r="E22" s="8" t="str">
        <f t="shared" si="2"/>
        <v/>
      </c>
    </row>
    <row r="23" ht="14.25" customHeight="1">
      <c r="A23" s="8" t="s">
        <v>45</v>
      </c>
      <c r="B23" s="8" t="s">
        <v>32</v>
      </c>
      <c r="C23" s="12">
        <f>Monday!H23</f>
        <v>3</v>
      </c>
      <c r="D23" s="8" t="str">
        <f t="shared" si="1"/>
        <v/>
      </c>
      <c r="E23" s="8" t="str">
        <f t="shared" si="2"/>
        <v/>
      </c>
    </row>
    <row r="24" ht="14.25" customHeight="1">
      <c r="A24" s="8" t="s">
        <v>45</v>
      </c>
      <c r="B24" s="8" t="s">
        <v>33</v>
      </c>
      <c r="C24" s="12">
        <f>Monday!H24</f>
        <v>3</v>
      </c>
      <c r="D24" s="8" t="str">
        <f t="shared" si="1"/>
        <v/>
      </c>
      <c r="E24" s="8" t="str">
        <f t="shared" si="2"/>
        <v/>
      </c>
    </row>
    <row r="25" ht="14.25" customHeight="1">
      <c r="A25" s="8" t="s">
        <v>49</v>
      </c>
      <c r="B25" s="8" t="s">
        <v>11</v>
      </c>
      <c r="C25" s="12">
        <f>Tuesday!H5</f>
        <v>0</v>
      </c>
      <c r="D25" s="8" t="str">
        <f t="shared" si="1"/>
        <v/>
      </c>
      <c r="E25" s="8" t="str">
        <f t="shared" si="2"/>
        <v/>
      </c>
    </row>
    <row r="26" ht="14.25" customHeight="1">
      <c r="A26" s="8" t="s">
        <v>49</v>
      </c>
      <c r="B26" s="8" t="s">
        <v>15</v>
      </c>
      <c r="C26" s="12">
        <f>Tuesday!H6</f>
        <v>0</v>
      </c>
      <c r="D26" s="8" t="str">
        <f t="shared" si="1"/>
        <v/>
      </c>
      <c r="E26" s="8" t="str">
        <f t="shared" si="2"/>
        <v/>
      </c>
    </row>
    <row r="27" ht="14.25" customHeight="1">
      <c r="A27" s="8" t="s">
        <v>49</v>
      </c>
      <c r="B27" s="8" t="s">
        <v>16</v>
      </c>
      <c r="C27" s="12">
        <f>Tuesday!H7</f>
        <v>0</v>
      </c>
      <c r="D27" s="8" t="str">
        <f t="shared" si="1"/>
        <v/>
      </c>
      <c r="E27" s="8" t="str">
        <f t="shared" si="2"/>
        <v/>
      </c>
    </row>
    <row r="28" ht="14.25" customHeight="1">
      <c r="A28" s="8" t="s">
        <v>49</v>
      </c>
      <c r="B28" s="8" t="s">
        <v>17</v>
      </c>
      <c r="C28" s="12">
        <f>Tuesday!H8</f>
        <v>0</v>
      </c>
      <c r="D28" s="8" t="str">
        <f t="shared" si="1"/>
        <v/>
      </c>
      <c r="E28" s="8" t="str">
        <f t="shared" si="2"/>
        <v/>
      </c>
    </row>
    <row r="29" ht="14.25" customHeight="1">
      <c r="A29" s="8" t="s">
        <v>49</v>
      </c>
      <c r="B29" s="8" t="s">
        <v>18</v>
      </c>
      <c r="C29" s="12">
        <f>Tuesday!H9</f>
        <v>1</v>
      </c>
      <c r="D29" s="8" t="str">
        <f t="shared" si="1"/>
        <v/>
      </c>
      <c r="E29" s="8" t="str">
        <f t="shared" si="2"/>
        <v/>
      </c>
    </row>
    <row r="30" ht="14.25" customHeight="1">
      <c r="A30" s="8" t="s">
        <v>49</v>
      </c>
      <c r="B30" s="8" t="s">
        <v>19</v>
      </c>
      <c r="C30" s="12">
        <f>Tuesday!H10</f>
        <v>2</v>
      </c>
      <c r="D30" s="8" t="str">
        <f t="shared" si="1"/>
        <v/>
      </c>
      <c r="E30" s="8" t="str">
        <f t="shared" si="2"/>
        <v/>
      </c>
    </row>
    <row r="31" ht="14.25" customHeight="1">
      <c r="A31" s="8" t="s">
        <v>49</v>
      </c>
      <c r="B31" s="8" t="s">
        <v>20</v>
      </c>
      <c r="C31" s="12">
        <f>Tuesday!H11</f>
        <v>3</v>
      </c>
      <c r="D31" s="8" t="str">
        <f t="shared" si="1"/>
        <v/>
      </c>
      <c r="E31" s="8" t="str">
        <f t="shared" si="2"/>
        <v/>
      </c>
    </row>
    <row r="32" ht="14.25" customHeight="1">
      <c r="A32" s="8" t="s">
        <v>49</v>
      </c>
      <c r="B32" s="8" t="s">
        <v>21</v>
      </c>
      <c r="C32" s="12">
        <f>Tuesday!H12</f>
        <v>3</v>
      </c>
      <c r="D32" s="8" t="str">
        <f t="shared" si="1"/>
        <v/>
      </c>
      <c r="E32" s="8" t="str">
        <f t="shared" si="2"/>
        <v/>
      </c>
    </row>
    <row r="33" ht="14.25" customHeight="1">
      <c r="A33" s="8" t="s">
        <v>49</v>
      </c>
      <c r="B33" s="8" t="s">
        <v>22</v>
      </c>
      <c r="C33" s="12">
        <f>Tuesday!H13</f>
        <v>3</v>
      </c>
      <c r="D33" s="8" t="str">
        <f t="shared" si="1"/>
        <v/>
      </c>
      <c r="E33" s="8" t="str">
        <f t="shared" si="2"/>
        <v/>
      </c>
    </row>
    <row r="34" ht="14.25" customHeight="1">
      <c r="A34" s="8" t="s">
        <v>49</v>
      </c>
      <c r="B34" s="8" t="s">
        <v>23</v>
      </c>
      <c r="C34" s="12">
        <f>Tuesday!H14</f>
        <v>3</v>
      </c>
      <c r="D34" s="8" t="str">
        <f t="shared" si="1"/>
        <v/>
      </c>
      <c r="E34" s="8" t="str">
        <f t="shared" si="2"/>
        <v/>
      </c>
    </row>
    <row r="35" ht="14.25" customHeight="1">
      <c r="A35" s="8" t="s">
        <v>49</v>
      </c>
      <c r="B35" s="8" t="s">
        <v>24</v>
      </c>
      <c r="C35" s="12">
        <f>Tuesday!H15</f>
        <v>3</v>
      </c>
      <c r="D35" s="8" t="str">
        <f t="shared" si="1"/>
        <v/>
      </c>
      <c r="E35" s="8" t="str">
        <f t="shared" si="2"/>
        <v/>
      </c>
    </row>
    <row r="36" ht="14.25" customHeight="1">
      <c r="A36" s="8" t="s">
        <v>49</v>
      </c>
      <c r="B36" s="8" t="s">
        <v>25</v>
      </c>
      <c r="C36" s="12">
        <f>Tuesday!H16</f>
        <v>3</v>
      </c>
      <c r="D36" s="8" t="str">
        <f t="shared" si="1"/>
        <v/>
      </c>
      <c r="E36" s="8" t="str">
        <f t="shared" si="2"/>
        <v/>
      </c>
    </row>
    <row r="37" ht="14.25" customHeight="1">
      <c r="A37" s="8" t="s">
        <v>49</v>
      </c>
      <c r="B37" s="8" t="s">
        <v>26</v>
      </c>
      <c r="C37" s="12">
        <f>Tuesday!H17</f>
        <v>3</v>
      </c>
      <c r="D37" s="8" t="str">
        <f t="shared" si="1"/>
        <v/>
      </c>
      <c r="E37" s="8" t="str">
        <f t="shared" si="2"/>
        <v/>
      </c>
    </row>
    <row r="38" ht="14.25" customHeight="1">
      <c r="A38" s="8" t="s">
        <v>49</v>
      </c>
      <c r="B38" s="8" t="s">
        <v>27</v>
      </c>
      <c r="C38" s="12">
        <f>Tuesday!H18</f>
        <v>4</v>
      </c>
      <c r="D38" s="8" t="str">
        <f t="shared" si="1"/>
        <v/>
      </c>
      <c r="E38" s="8" t="str">
        <f t="shared" si="2"/>
        <v>YES</v>
      </c>
    </row>
    <row r="39" ht="14.25" customHeight="1">
      <c r="A39" s="8" t="s">
        <v>49</v>
      </c>
      <c r="B39" s="8" t="s">
        <v>28</v>
      </c>
      <c r="C39" s="12">
        <f>Tuesday!H19</f>
        <v>3</v>
      </c>
      <c r="D39" s="8" t="str">
        <f t="shared" si="1"/>
        <v/>
      </c>
      <c r="E39" s="8" t="str">
        <f t="shared" si="2"/>
        <v/>
      </c>
    </row>
    <row r="40" ht="14.25" customHeight="1">
      <c r="A40" s="8" t="s">
        <v>49</v>
      </c>
      <c r="B40" s="8" t="s">
        <v>29</v>
      </c>
      <c r="C40" s="12">
        <f>Tuesday!H20</f>
        <v>3</v>
      </c>
      <c r="D40" s="8" t="str">
        <f t="shared" si="1"/>
        <v/>
      </c>
      <c r="E40" s="8" t="str">
        <f t="shared" si="2"/>
        <v/>
      </c>
    </row>
    <row r="41" ht="14.25" customHeight="1">
      <c r="A41" s="8" t="s">
        <v>49</v>
      </c>
      <c r="B41" s="8" t="s">
        <v>30</v>
      </c>
      <c r="C41" s="12">
        <f>Tuesday!H21</f>
        <v>3</v>
      </c>
      <c r="D41" s="8" t="str">
        <f t="shared" si="1"/>
        <v/>
      </c>
      <c r="E41" s="8" t="str">
        <f t="shared" si="2"/>
        <v/>
      </c>
    </row>
    <row r="42" ht="14.25" customHeight="1">
      <c r="A42" s="8" t="s">
        <v>49</v>
      </c>
      <c r="B42" s="8" t="s">
        <v>31</v>
      </c>
      <c r="C42" s="12">
        <f>Tuesday!H22</f>
        <v>3</v>
      </c>
      <c r="D42" s="8" t="str">
        <f t="shared" si="1"/>
        <v/>
      </c>
      <c r="E42" s="8" t="str">
        <f t="shared" si="2"/>
        <v/>
      </c>
    </row>
    <row r="43" ht="14.25" customHeight="1">
      <c r="A43" s="8" t="s">
        <v>49</v>
      </c>
      <c r="B43" s="8" t="s">
        <v>32</v>
      </c>
      <c r="C43" s="12">
        <f>Tuesday!H23</f>
        <v>4</v>
      </c>
      <c r="D43" s="8" t="str">
        <f t="shared" si="1"/>
        <v/>
      </c>
      <c r="E43" s="8" t="str">
        <f t="shared" si="2"/>
        <v>YES</v>
      </c>
    </row>
    <row r="44" ht="14.25" customHeight="1">
      <c r="A44" s="8" t="s">
        <v>49</v>
      </c>
      <c r="B44" s="8" t="s">
        <v>33</v>
      </c>
      <c r="C44" s="12">
        <f>Tuesday!H24</f>
        <v>4</v>
      </c>
      <c r="D44" s="8" t="str">
        <f t="shared" si="1"/>
        <v/>
      </c>
      <c r="E44" s="8" t="str">
        <f t="shared" si="2"/>
        <v>YES</v>
      </c>
    </row>
    <row r="45" ht="14.25" customHeight="1">
      <c r="A45" s="8" t="s">
        <v>50</v>
      </c>
      <c r="B45" s="8" t="s">
        <v>11</v>
      </c>
      <c r="C45" s="12">
        <f>Wednesday!H5</f>
        <v>1</v>
      </c>
      <c r="D45" s="8" t="str">
        <f t="shared" si="1"/>
        <v/>
      </c>
      <c r="E45" s="8" t="str">
        <f t="shared" si="2"/>
        <v/>
      </c>
    </row>
    <row r="46" ht="14.25" customHeight="1">
      <c r="A46" s="8" t="s">
        <v>50</v>
      </c>
      <c r="B46" s="8" t="s">
        <v>15</v>
      </c>
      <c r="C46" s="12">
        <f>Wednesday!H6</f>
        <v>1</v>
      </c>
      <c r="D46" s="8" t="str">
        <f t="shared" si="1"/>
        <v/>
      </c>
      <c r="E46" s="8" t="str">
        <f t="shared" si="2"/>
        <v/>
      </c>
    </row>
    <row r="47" ht="14.25" customHeight="1">
      <c r="A47" s="8" t="s">
        <v>50</v>
      </c>
      <c r="B47" s="8" t="s">
        <v>16</v>
      </c>
      <c r="C47" s="12">
        <f>Wednesday!H7</f>
        <v>1</v>
      </c>
      <c r="D47" s="8" t="str">
        <f t="shared" si="1"/>
        <v/>
      </c>
      <c r="E47" s="8" t="str">
        <f t="shared" si="2"/>
        <v/>
      </c>
    </row>
    <row r="48" ht="14.25" customHeight="1">
      <c r="A48" s="8" t="s">
        <v>50</v>
      </c>
      <c r="B48" s="8" t="s">
        <v>17</v>
      </c>
      <c r="C48" s="12">
        <f>Wednesday!H8</f>
        <v>1</v>
      </c>
      <c r="D48" s="8" t="str">
        <f t="shared" si="1"/>
        <v/>
      </c>
      <c r="E48" s="8" t="str">
        <f t="shared" si="2"/>
        <v/>
      </c>
    </row>
    <row r="49" ht="14.25" customHeight="1">
      <c r="A49" s="8" t="s">
        <v>50</v>
      </c>
      <c r="B49" s="8" t="s">
        <v>18</v>
      </c>
      <c r="C49" s="12">
        <f>Wednesday!H9</f>
        <v>2</v>
      </c>
      <c r="D49" s="8" t="str">
        <f t="shared" si="1"/>
        <v/>
      </c>
      <c r="E49" s="8" t="str">
        <f t="shared" si="2"/>
        <v/>
      </c>
    </row>
    <row r="50" ht="14.25" customHeight="1">
      <c r="A50" s="8" t="s">
        <v>50</v>
      </c>
      <c r="B50" s="8" t="s">
        <v>19</v>
      </c>
      <c r="C50" s="12">
        <f>Wednesday!H10</f>
        <v>3</v>
      </c>
      <c r="D50" s="8" t="str">
        <f t="shared" si="1"/>
        <v/>
      </c>
      <c r="E50" s="8" t="str">
        <f t="shared" si="2"/>
        <v/>
      </c>
    </row>
    <row r="51" ht="14.25" customHeight="1">
      <c r="A51" s="8" t="s">
        <v>50</v>
      </c>
      <c r="B51" s="8" t="s">
        <v>20</v>
      </c>
      <c r="C51" s="12">
        <f>Wednesday!H11</f>
        <v>5</v>
      </c>
      <c r="D51" s="8" t="str">
        <f t="shared" si="1"/>
        <v/>
      </c>
      <c r="E51" s="8" t="str">
        <f t="shared" si="2"/>
        <v>YES</v>
      </c>
    </row>
    <row r="52" ht="14.25" customHeight="1">
      <c r="A52" s="8" t="s">
        <v>50</v>
      </c>
      <c r="B52" s="8" t="s">
        <v>21</v>
      </c>
      <c r="C52" s="12">
        <f>Wednesday!H12</f>
        <v>4</v>
      </c>
      <c r="D52" s="8" t="str">
        <f t="shared" si="1"/>
        <v/>
      </c>
      <c r="E52" s="8" t="str">
        <f t="shared" si="2"/>
        <v>YES</v>
      </c>
    </row>
    <row r="53" ht="14.25" customHeight="1">
      <c r="A53" s="8" t="s">
        <v>50</v>
      </c>
      <c r="B53" s="8" t="s">
        <v>22</v>
      </c>
      <c r="C53" s="12">
        <f>Wednesday!H13</f>
        <v>1</v>
      </c>
      <c r="D53" s="8" t="str">
        <f t="shared" si="1"/>
        <v/>
      </c>
      <c r="E53" s="8" t="str">
        <f t="shared" si="2"/>
        <v/>
      </c>
    </row>
    <row r="54" ht="14.25" customHeight="1">
      <c r="A54" s="8" t="s">
        <v>50</v>
      </c>
      <c r="B54" s="8" t="s">
        <v>23</v>
      </c>
      <c r="C54" s="12">
        <f>Wednesday!H14</f>
        <v>1</v>
      </c>
      <c r="D54" s="8" t="str">
        <f t="shared" si="1"/>
        <v/>
      </c>
      <c r="E54" s="8" t="str">
        <f t="shared" si="2"/>
        <v/>
      </c>
    </row>
    <row r="55" ht="14.25" customHeight="1">
      <c r="A55" s="8" t="s">
        <v>50</v>
      </c>
      <c r="B55" s="8" t="s">
        <v>24</v>
      </c>
      <c r="C55" s="12">
        <f>Wednesday!H15</f>
        <v>1</v>
      </c>
      <c r="D55" s="8" t="str">
        <f t="shared" si="1"/>
        <v/>
      </c>
      <c r="E55" s="8" t="str">
        <f t="shared" si="2"/>
        <v/>
      </c>
    </row>
    <row r="56" ht="14.25" customHeight="1">
      <c r="A56" s="8" t="s">
        <v>50</v>
      </c>
      <c r="B56" s="8" t="s">
        <v>25</v>
      </c>
      <c r="C56" s="12">
        <f>Wednesday!H16</f>
        <v>4</v>
      </c>
      <c r="D56" s="8" t="str">
        <f t="shared" si="1"/>
        <v/>
      </c>
      <c r="E56" s="8" t="str">
        <f t="shared" si="2"/>
        <v>YES</v>
      </c>
    </row>
    <row r="57" ht="14.25" customHeight="1">
      <c r="A57" s="8" t="s">
        <v>50</v>
      </c>
      <c r="B57" s="8" t="s">
        <v>26</v>
      </c>
      <c r="C57" s="12">
        <f>Wednesday!H17</f>
        <v>3</v>
      </c>
      <c r="D57" s="8" t="str">
        <f t="shared" si="1"/>
        <v/>
      </c>
      <c r="E57" s="8" t="str">
        <f t="shared" si="2"/>
        <v/>
      </c>
    </row>
    <row r="58" ht="14.25" customHeight="1">
      <c r="A58" s="8" t="s">
        <v>50</v>
      </c>
      <c r="B58" s="8" t="s">
        <v>27</v>
      </c>
      <c r="C58" s="12">
        <f>Wednesday!H18</f>
        <v>3</v>
      </c>
      <c r="D58" s="8" t="str">
        <f t="shared" si="1"/>
        <v/>
      </c>
      <c r="E58" s="8" t="str">
        <f t="shared" si="2"/>
        <v/>
      </c>
    </row>
    <row r="59" ht="14.25" customHeight="1">
      <c r="A59" s="8" t="s">
        <v>50</v>
      </c>
      <c r="B59" s="8" t="s">
        <v>28</v>
      </c>
      <c r="C59" s="12">
        <f>Wednesday!H19</f>
        <v>3</v>
      </c>
      <c r="D59" s="8" t="str">
        <f t="shared" si="1"/>
        <v/>
      </c>
      <c r="E59" s="8" t="str">
        <f t="shared" si="2"/>
        <v/>
      </c>
    </row>
    <row r="60" ht="14.25" customHeight="1">
      <c r="A60" s="8" t="s">
        <v>50</v>
      </c>
      <c r="B60" s="8" t="s">
        <v>29</v>
      </c>
      <c r="C60" s="12">
        <f>Wednesday!H20</f>
        <v>4</v>
      </c>
      <c r="D60" s="8" t="str">
        <f t="shared" si="1"/>
        <v/>
      </c>
      <c r="E60" s="8" t="str">
        <f t="shared" si="2"/>
        <v>YES</v>
      </c>
    </row>
    <row r="61" ht="14.25" customHeight="1">
      <c r="A61" s="8" t="s">
        <v>50</v>
      </c>
      <c r="B61" s="8" t="s">
        <v>30</v>
      </c>
      <c r="C61" s="12">
        <f>Wednesday!H21</f>
        <v>4</v>
      </c>
      <c r="D61" s="8" t="str">
        <f t="shared" si="1"/>
        <v/>
      </c>
      <c r="E61" s="8" t="str">
        <f t="shared" si="2"/>
        <v>YES</v>
      </c>
    </row>
    <row r="62" ht="14.25" customHeight="1">
      <c r="A62" s="8" t="s">
        <v>50</v>
      </c>
      <c r="B62" s="8" t="s">
        <v>31</v>
      </c>
      <c r="C62" s="12">
        <f>Wednesday!H22</f>
        <v>3</v>
      </c>
      <c r="D62" s="8" t="str">
        <f t="shared" si="1"/>
        <v/>
      </c>
      <c r="E62" s="8" t="str">
        <f t="shared" si="2"/>
        <v/>
      </c>
    </row>
    <row r="63" ht="14.25" customHeight="1">
      <c r="A63" s="8" t="s">
        <v>50</v>
      </c>
      <c r="B63" s="8" t="s">
        <v>32</v>
      </c>
      <c r="C63" s="12">
        <f>Wednesday!H23</f>
        <v>3</v>
      </c>
      <c r="D63" s="8" t="str">
        <f t="shared" si="1"/>
        <v/>
      </c>
      <c r="E63" s="8" t="str">
        <f t="shared" si="2"/>
        <v/>
      </c>
    </row>
    <row r="64" ht="14.25" customHeight="1">
      <c r="A64" s="8" t="s">
        <v>50</v>
      </c>
      <c r="B64" s="8" t="s">
        <v>33</v>
      </c>
      <c r="C64" s="12">
        <f>Wednesday!H24</f>
        <v>3</v>
      </c>
      <c r="D64" s="8" t="str">
        <f t="shared" si="1"/>
        <v/>
      </c>
      <c r="E64" s="8" t="str">
        <f t="shared" si="2"/>
        <v/>
      </c>
    </row>
    <row r="65" ht="14.25" customHeight="1">
      <c r="A65" s="8" t="s">
        <v>51</v>
      </c>
      <c r="B65" s="8" t="s">
        <v>11</v>
      </c>
      <c r="C65" s="12">
        <f>Thursday!H5</f>
        <v>1</v>
      </c>
      <c r="D65" s="8" t="str">
        <f t="shared" si="1"/>
        <v/>
      </c>
      <c r="E65" s="8" t="str">
        <f t="shared" si="2"/>
        <v/>
      </c>
    </row>
    <row r="66" ht="14.25" customHeight="1">
      <c r="A66" s="8" t="s">
        <v>51</v>
      </c>
      <c r="B66" s="8" t="s">
        <v>15</v>
      </c>
      <c r="C66" s="12">
        <f>Thursday!H6</f>
        <v>1</v>
      </c>
      <c r="D66" s="8" t="str">
        <f t="shared" si="1"/>
        <v/>
      </c>
      <c r="E66" s="8" t="str">
        <f t="shared" si="2"/>
        <v/>
      </c>
    </row>
    <row r="67" ht="14.25" customHeight="1">
      <c r="A67" s="8" t="s">
        <v>51</v>
      </c>
      <c r="B67" s="8" t="s">
        <v>16</v>
      </c>
      <c r="C67" s="12">
        <f>Thursday!H7</f>
        <v>1</v>
      </c>
      <c r="D67" s="8" t="str">
        <f t="shared" si="1"/>
        <v/>
      </c>
      <c r="E67" s="8" t="str">
        <f t="shared" si="2"/>
        <v/>
      </c>
    </row>
    <row r="68" ht="14.25" customHeight="1">
      <c r="A68" s="8" t="s">
        <v>51</v>
      </c>
      <c r="B68" s="8" t="s">
        <v>17</v>
      </c>
      <c r="C68" s="12">
        <f>Thursday!H8</f>
        <v>1</v>
      </c>
      <c r="D68" s="8" t="str">
        <f t="shared" si="1"/>
        <v/>
      </c>
      <c r="E68" s="8" t="str">
        <f t="shared" si="2"/>
        <v/>
      </c>
    </row>
    <row r="69" ht="14.25" customHeight="1">
      <c r="A69" s="8" t="s">
        <v>51</v>
      </c>
      <c r="B69" s="8" t="s">
        <v>18</v>
      </c>
      <c r="C69" s="12">
        <f>Thursday!H9</f>
        <v>3</v>
      </c>
      <c r="D69" s="8" t="str">
        <f t="shared" si="1"/>
        <v/>
      </c>
      <c r="E69" s="8" t="str">
        <f t="shared" si="2"/>
        <v/>
      </c>
    </row>
    <row r="70" ht="14.25" customHeight="1">
      <c r="A70" s="8" t="s">
        <v>51</v>
      </c>
      <c r="B70" s="8" t="s">
        <v>19</v>
      </c>
      <c r="C70" s="12">
        <f>Thursday!H10</f>
        <v>2</v>
      </c>
      <c r="D70" s="8" t="str">
        <f t="shared" si="1"/>
        <v/>
      </c>
      <c r="E70" s="8" t="str">
        <f t="shared" si="2"/>
        <v/>
      </c>
    </row>
    <row r="71" ht="14.25" customHeight="1">
      <c r="A71" s="8" t="s">
        <v>51</v>
      </c>
      <c r="B71" s="8" t="s">
        <v>20</v>
      </c>
      <c r="C71" s="12">
        <f>Thursday!H11</f>
        <v>2</v>
      </c>
      <c r="D71" s="8" t="str">
        <f t="shared" si="1"/>
        <v/>
      </c>
      <c r="E71" s="8" t="str">
        <f t="shared" si="2"/>
        <v/>
      </c>
    </row>
    <row r="72" ht="14.25" customHeight="1">
      <c r="A72" s="8" t="s">
        <v>51</v>
      </c>
      <c r="B72" s="8" t="s">
        <v>21</v>
      </c>
      <c r="C72" s="12">
        <f>Thursday!H12</f>
        <v>1</v>
      </c>
      <c r="D72" s="8" t="str">
        <f t="shared" si="1"/>
        <v/>
      </c>
      <c r="E72" s="8" t="str">
        <f t="shared" si="2"/>
        <v/>
      </c>
    </row>
    <row r="73" ht="14.25" customHeight="1">
      <c r="A73" s="8" t="s">
        <v>51</v>
      </c>
      <c r="B73" s="8" t="s">
        <v>22</v>
      </c>
      <c r="C73" s="12">
        <f>Thursday!H13</f>
        <v>4</v>
      </c>
      <c r="D73" s="8" t="str">
        <f t="shared" si="1"/>
        <v/>
      </c>
      <c r="E73" s="8" t="str">
        <f t="shared" si="2"/>
        <v>YES</v>
      </c>
    </row>
    <row r="74" ht="14.25" customHeight="1">
      <c r="A74" s="8" t="s">
        <v>51</v>
      </c>
      <c r="B74" s="8" t="s">
        <v>23</v>
      </c>
      <c r="C74" s="12">
        <f>Thursday!H14</f>
        <v>4</v>
      </c>
      <c r="D74" s="8" t="str">
        <f t="shared" si="1"/>
        <v/>
      </c>
      <c r="E74" s="8" t="str">
        <f t="shared" si="2"/>
        <v>YES</v>
      </c>
    </row>
    <row r="75" ht="14.25" customHeight="1">
      <c r="A75" s="8" t="s">
        <v>51</v>
      </c>
      <c r="B75" s="8" t="s">
        <v>24</v>
      </c>
      <c r="C75" s="12">
        <f>Thursday!H15</f>
        <v>4</v>
      </c>
      <c r="D75" s="8" t="str">
        <f t="shared" si="1"/>
        <v/>
      </c>
      <c r="E75" s="8" t="str">
        <f t="shared" si="2"/>
        <v>YES</v>
      </c>
    </row>
    <row r="76" ht="14.25" customHeight="1">
      <c r="A76" s="8" t="s">
        <v>51</v>
      </c>
      <c r="B76" s="8" t="s">
        <v>25</v>
      </c>
      <c r="C76" s="12">
        <f>Thursday!H16</f>
        <v>4</v>
      </c>
      <c r="D76" s="8" t="str">
        <f t="shared" si="1"/>
        <v/>
      </c>
      <c r="E76" s="8" t="str">
        <f t="shared" si="2"/>
        <v>YES</v>
      </c>
    </row>
    <row r="77" ht="14.25" customHeight="1">
      <c r="A77" s="8" t="s">
        <v>51</v>
      </c>
      <c r="B77" s="8" t="s">
        <v>26</v>
      </c>
      <c r="C77" s="12">
        <f>Thursday!H17</f>
        <v>4</v>
      </c>
      <c r="D77" s="8" t="str">
        <f t="shared" si="1"/>
        <v/>
      </c>
      <c r="E77" s="8" t="str">
        <f t="shared" si="2"/>
        <v>YES</v>
      </c>
    </row>
    <row r="78" ht="14.25" customHeight="1">
      <c r="A78" s="8" t="s">
        <v>51</v>
      </c>
      <c r="B78" s="8" t="s">
        <v>27</v>
      </c>
      <c r="C78" s="12">
        <f>Thursday!H18</f>
        <v>3</v>
      </c>
      <c r="D78" s="8" t="str">
        <f t="shared" si="1"/>
        <v/>
      </c>
      <c r="E78" s="8" t="str">
        <f t="shared" si="2"/>
        <v/>
      </c>
    </row>
    <row r="79" ht="14.25" customHeight="1">
      <c r="A79" s="8" t="s">
        <v>51</v>
      </c>
      <c r="B79" s="8" t="s">
        <v>28</v>
      </c>
      <c r="C79" s="12">
        <f>Thursday!H19</f>
        <v>4</v>
      </c>
      <c r="D79" s="8" t="str">
        <f t="shared" si="1"/>
        <v/>
      </c>
      <c r="E79" s="8" t="str">
        <f t="shared" si="2"/>
        <v>YES</v>
      </c>
    </row>
    <row r="80" ht="14.25" customHeight="1">
      <c r="A80" s="8" t="s">
        <v>51</v>
      </c>
      <c r="B80" s="8" t="s">
        <v>29</v>
      </c>
      <c r="C80" s="12">
        <f>Thursday!H20</f>
        <v>4</v>
      </c>
      <c r="D80" s="8" t="str">
        <f t="shared" si="1"/>
        <v/>
      </c>
      <c r="E80" s="8" t="str">
        <f t="shared" si="2"/>
        <v>YES</v>
      </c>
    </row>
    <row r="81" ht="14.25" customHeight="1">
      <c r="A81" s="8" t="s">
        <v>51</v>
      </c>
      <c r="B81" s="8" t="s">
        <v>30</v>
      </c>
      <c r="C81" s="12">
        <f>Thursday!H21</f>
        <v>4</v>
      </c>
      <c r="D81" s="8" t="str">
        <f t="shared" si="1"/>
        <v/>
      </c>
      <c r="E81" s="8" t="str">
        <f t="shared" si="2"/>
        <v>YES</v>
      </c>
    </row>
    <row r="82" ht="14.25" customHeight="1">
      <c r="A82" s="8" t="s">
        <v>51</v>
      </c>
      <c r="B82" s="8" t="s">
        <v>31</v>
      </c>
      <c r="C82" s="12">
        <f>Thursday!H22</f>
        <v>5</v>
      </c>
      <c r="D82" s="8" t="str">
        <f t="shared" si="1"/>
        <v/>
      </c>
      <c r="E82" s="8" t="str">
        <f t="shared" si="2"/>
        <v>YES</v>
      </c>
    </row>
    <row r="83" ht="14.25" customHeight="1">
      <c r="A83" s="8" t="s">
        <v>51</v>
      </c>
      <c r="B83" s="8" t="s">
        <v>32</v>
      </c>
      <c r="C83" s="12">
        <f>Thursday!H23</f>
        <v>5</v>
      </c>
      <c r="D83" s="8" t="str">
        <f t="shared" si="1"/>
        <v/>
      </c>
      <c r="E83" s="8" t="str">
        <f t="shared" si="2"/>
        <v>YES</v>
      </c>
    </row>
    <row r="84" ht="14.25" customHeight="1">
      <c r="A84" s="8" t="s">
        <v>51</v>
      </c>
      <c r="B84" s="8" t="s">
        <v>33</v>
      </c>
      <c r="C84" s="12">
        <f>Thursday!H24</f>
        <v>4</v>
      </c>
      <c r="D84" s="8" t="str">
        <f t="shared" si="1"/>
        <v/>
      </c>
      <c r="E84" s="8" t="str">
        <f t="shared" si="2"/>
        <v>YES</v>
      </c>
    </row>
    <row r="85" ht="14.25" customHeight="1">
      <c r="A85" s="8" t="s">
        <v>52</v>
      </c>
      <c r="B85" s="8" t="s">
        <v>11</v>
      </c>
      <c r="C85" s="12">
        <f>Friday!H5</f>
        <v>0</v>
      </c>
      <c r="D85" s="8" t="str">
        <f t="shared" si="1"/>
        <v/>
      </c>
      <c r="E85" s="8" t="str">
        <f t="shared" si="2"/>
        <v/>
      </c>
    </row>
    <row r="86" ht="14.25" customHeight="1">
      <c r="A86" s="8" t="s">
        <v>52</v>
      </c>
      <c r="B86" s="8" t="s">
        <v>15</v>
      </c>
      <c r="C86" s="12">
        <f>Friday!H6</f>
        <v>0</v>
      </c>
      <c r="D86" s="8" t="str">
        <f t="shared" si="1"/>
        <v/>
      </c>
      <c r="E86" s="8" t="str">
        <f t="shared" si="2"/>
        <v/>
      </c>
    </row>
    <row r="87" ht="14.25" customHeight="1">
      <c r="A87" s="8" t="s">
        <v>52</v>
      </c>
      <c r="B87" s="8" t="s">
        <v>16</v>
      </c>
      <c r="C87" s="12">
        <f>Friday!H7</f>
        <v>0</v>
      </c>
      <c r="D87" s="8" t="str">
        <f t="shared" si="1"/>
        <v/>
      </c>
      <c r="E87" s="8" t="str">
        <f t="shared" si="2"/>
        <v/>
      </c>
    </row>
    <row r="88" ht="14.25" customHeight="1">
      <c r="A88" s="8" t="s">
        <v>52</v>
      </c>
      <c r="B88" s="8" t="s">
        <v>17</v>
      </c>
      <c r="C88" s="12">
        <f>Friday!H8</f>
        <v>0</v>
      </c>
      <c r="D88" s="8" t="str">
        <f t="shared" si="1"/>
        <v/>
      </c>
      <c r="E88" s="8" t="str">
        <f t="shared" si="2"/>
        <v/>
      </c>
    </row>
    <row r="89" ht="14.25" customHeight="1">
      <c r="A89" s="8" t="s">
        <v>52</v>
      </c>
      <c r="B89" s="8" t="s">
        <v>18</v>
      </c>
      <c r="C89" s="12">
        <f>Friday!H9</f>
        <v>2</v>
      </c>
      <c r="D89" s="8" t="str">
        <f t="shared" si="1"/>
        <v/>
      </c>
      <c r="E89" s="8" t="str">
        <f t="shared" si="2"/>
        <v/>
      </c>
    </row>
    <row r="90" ht="14.25" customHeight="1">
      <c r="A90" s="8" t="s">
        <v>52</v>
      </c>
      <c r="B90" s="8" t="s">
        <v>19</v>
      </c>
      <c r="C90" s="12">
        <f>Friday!H10</f>
        <v>3</v>
      </c>
      <c r="D90" s="8" t="str">
        <f t="shared" si="1"/>
        <v/>
      </c>
      <c r="E90" s="8" t="str">
        <f t="shared" si="2"/>
        <v/>
      </c>
    </row>
    <row r="91" ht="14.25" customHeight="1">
      <c r="A91" s="8" t="s">
        <v>52</v>
      </c>
      <c r="B91" s="8" t="s">
        <v>20</v>
      </c>
      <c r="C91" s="12">
        <f>Friday!H11</f>
        <v>4</v>
      </c>
      <c r="D91" s="8" t="str">
        <f t="shared" si="1"/>
        <v/>
      </c>
      <c r="E91" s="8" t="str">
        <f t="shared" si="2"/>
        <v>YES</v>
      </c>
    </row>
    <row r="92" ht="14.25" customHeight="1">
      <c r="A92" s="8" t="s">
        <v>52</v>
      </c>
      <c r="B92" s="8" t="s">
        <v>21</v>
      </c>
      <c r="C92" s="12">
        <f>Friday!H12</f>
        <v>3</v>
      </c>
      <c r="D92" s="8" t="str">
        <f t="shared" si="1"/>
        <v/>
      </c>
      <c r="E92" s="8" t="str">
        <f t="shared" si="2"/>
        <v/>
      </c>
    </row>
    <row r="93" ht="14.25" customHeight="1">
      <c r="A93" s="8" t="s">
        <v>52</v>
      </c>
      <c r="B93" s="8" t="s">
        <v>22</v>
      </c>
      <c r="C93" s="12">
        <f>Friday!H13</f>
        <v>4</v>
      </c>
      <c r="D93" s="8" t="str">
        <f t="shared" si="1"/>
        <v/>
      </c>
      <c r="E93" s="8" t="str">
        <f t="shared" si="2"/>
        <v>YES</v>
      </c>
    </row>
    <row r="94" ht="14.25" customHeight="1">
      <c r="A94" s="8" t="s">
        <v>52</v>
      </c>
      <c r="B94" s="8" t="s">
        <v>23</v>
      </c>
      <c r="C94" s="12">
        <f>Friday!H14</f>
        <v>4</v>
      </c>
      <c r="D94" s="8" t="str">
        <f t="shared" si="1"/>
        <v/>
      </c>
      <c r="E94" s="8" t="str">
        <f t="shared" si="2"/>
        <v>YES</v>
      </c>
    </row>
    <row r="95" ht="14.25" customHeight="1">
      <c r="A95" s="8" t="s">
        <v>52</v>
      </c>
      <c r="B95" s="8" t="s">
        <v>24</v>
      </c>
      <c r="C95" s="12">
        <f>Friday!H15</f>
        <v>3</v>
      </c>
      <c r="D95" s="8" t="str">
        <f t="shared" si="1"/>
        <v/>
      </c>
      <c r="E95" s="8" t="str">
        <f t="shared" si="2"/>
        <v/>
      </c>
    </row>
    <row r="96" ht="14.25" customHeight="1">
      <c r="A96" s="8" t="s">
        <v>52</v>
      </c>
      <c r="B96" s="8" t="s">
        <v>25</v>
      </c>
      <c r="C96" s="12">
        <f>Friday!H16</f>
        <v>4</v>
      </c>
      <c r="D96" s="8" t="str">
        <f t="shared" si="1"/>
        <v/>
      </c>
      <c r="E96" s="8" t="str">
        <f t="shared" si="2"/>
        <v>YES</v>
      </c>
    </row>
    <row r="97" ht="14.25" customHeight="1">
      <c r="A97" s="8" t="s">
        <v>52</v>
      </c>
      <c r="B97" s="8" t="s">
        <v>26</v>
      </c>
      <c r="C97" s="12">
        <f>Friday!H17</f>
        <v>4</v>
      </c>
      <c r="D97" s="8" t="str">
        <f t="shared" si="1"/>
        <v/>
      </c>
      <c r="E97" s="8" t="str">
        <f t="shared" si="2"/>
        <v>YES</v>
      </c>
    </row>
    <row r="98" ht="14.25" customHeight="1">
      <c r="A98" s="8" t="s">
        <v>52</v>
      </c>
      <c r="B98" s="8" t="s">
        <v>27</v>
      </c>
      <c r="C98" s="12">
        <f>Friday!H18</f>
        <v>4</v>
      </c>
      <c r="D98" s="8" t="str">
        <f t="shared" si="1"/>
        <v/>
      </c>
      <c r="E98" s="8" t="str">
        <f t="shared" si="2"/>
        <v>YES</v>
      </c>
    </row>
    <row r="99" ht="14.25" customHeight="1">
      <c r="A99" s="8" t="s">
        <v>52</v>
      </c>
      <c r="B99" s="8" t="s">
        <v>28</v>
      </c>
      <c r="C99" s="12">
        <f>Friday!H19</f>
        <v>2</v>
      </c>
      <c r="D99" s="8" t="str">
        <f t="shared" si="1"/>
        <v/>
      </c>
      <c r="E99" s="8" t="str">
        <f t="shared" si="2"/>
        <v/>
      </c>
    </row>
    <row r="100" ht="14.25" customHeight="1">
      <c r="A100" s="8" t="s">
        <v>52</v>
      </c>
      <c r="B100" s="8" t="s">
        <v>29</v>
      </c>
      <c r="C100" s="12">
        <f>Friday!H20</f>
        <v>2</v>
      </c>
      <c r="D100" s="8" t="str">
        <f t="shared" si="1"/>
        <v/>
      </c>
      <c r="E100" s="8" t="str">
        <f t="shared" si="2"/>
        <v/>
      </c>
    </row>
    <row r="101" ht="14.25" customHeight="1">
      <c r="A101" s="8" t="s">
        <v>52</v>
      </c>
      <c r="B101" s="8" t="s">
        <v>30</v>
      </c>
      <c r="C101" s="12">
        <f>Friday!H21</f>
        <v>0</v>
      </c>
      <c r="D101" s="8" t="str">
        <f t="shared" si="1"/>
        <v/>
      </c>
      <c r="E101" s="8" t="str">
        <f t="shared" si="2"/>
        <v/>
      </c>
    </row>
    <row r="102" ht="14.25" customHeight="1">
      <c r="A102" s="8" t="s">
        <v>52</v>
      </c>
      <c r="B102" s="8" t="s">
        <v>31</v>
      </c>
      <c r="C102" s="12">
        <f>Friday!H22</f>
        <v>3</v>
      </c>
      <c r="D102" s="8" t="str">
        <f t="shared" si="1"/>
        <v/>
      </c>
      <c r="E102" s="8" t="str">
        <f t="shared" si="2"/>
        <v/>
      </c>
    </row>
    <row r="103" ht="14.25" customHeight="1">
      <c r="A103" s="8" t="s">
        <v>52</v>
      </c>
      <c r="B103" s="8" t="s">
        <v>32</v>
      </c>
      <c r="C103" s="12">
        <f>Friday!H23</f>
        <v>3</v>
      </c>
      <c r="D103" s="8" t="str">
        <f t="shared" si="1"/>
        <v/>
      </c>
      <c r="E103" s="8" t="str">
        <f t="shared" si="2"/>
        <v/>
      </c>
    </row>
    <row r="104" ht="14.25" customHeight="1">
      <c r="A104" s="8" t="s">
        <v>52</v>
      </c>
      <c r="B104" s="8" t="s">
        <v>33</v>
      </c>
      <c r="C104" s="12">
        <f>Friday!H24</f>
        <v>3</v>
      </c>
      <c r="D104" s="8" t="str">
        <f t="shared" si="1"/>
        <v/>
      </c>
      <c r="E104" s="8" t="str">
        <f t="shared" si="2"/>
        <v/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E$104"/>
  <conditionalFormatting sqref="D5:D104">
    <cfRule type="cellIs" dxfId="0" priority="1" operator="equal">
      <formula>"YES"</formula>
    </cfRule>
  </conditionalFormatting>
  <conditionalFormatting sqref="E5:E104">
    <cfRule type="cellIs" dxfId="3" priority="2" operator="equal">
      <formula>"YES"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2026-06-05T15:48:28Z</dcterms:created>
  <dc:creator>openpyxl</dc:creator>
</cp:coreProperties>
</file>